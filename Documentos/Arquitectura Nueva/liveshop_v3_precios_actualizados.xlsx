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ES Y PRECIOS" sheetId="1" state="visible" r:id="rId3"/>
    <sheet name="COMISIONES ASESORES" sheetId="2" state="visible" r:id="rId4"/>
    <sheet name="RENTABILIDAD" sheetId="3" state="visible" r:id="rId5"/>
    <sheet name="ANÁLISIS COMPETENC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<sst xmlns="http://schemas.openxmlformats.org/spreadsheetml/2006/main" count="394" uniqueCount="260">
  <si>
    <t xml:space="preserve">Plataforma profesional para automatizar, controlar stock en tiempo real y evitar sobreventas</t>
  </si>
  <si>
    <t xml:space="preserve">ESTRUCTURA DE PRECIOS — PLAN PROFESIONAL</t>
  </si>
  <si>
    <t xml:space="preserve">PERIODICIDAD</t>
  </si>
  <si>
    <t xml:space="preserve">PRECIO Bs.</t>
  </si>
  <si>
    <t xml:space="preserve">EQUIV. MENSUAL Bs.</t>
  </si>
  <si>
    <t xml:space="preserve">AHORRO vs MENSUAL Bs.</t>
  </si>
  <si>
    <t xml:space="preserve">DESCUENTO %</t>
  </si>
  <si>
    <t xml:space="preserve">PRECIO USD aprox.</t>
  </si>
  <si>
    <t xml:space="preserve">COMISIÓN ASESOR 25% Bs.</t>
  </si>
  <si>
    <t xml:space="preserve">INGRESO EMPRESA Bs.</t>
  </si>
  <si>
    <t xml:space="preserve">NOTAS</t>
  </si>
  <si>
    <t xml:space="preserve">Mensual</t>
  </si>
  <si>
    <t xml:space="preserve">Pago recurrente mensual</t>
  </si>
  <si>
    <t xml:space="preserve">Trimestral</t>
  </si>
  <si>
    <t xml:space="preserve">10% descuento · Bs. 270/mes equiv.</t>
  </si>
  <si>
    <t xml:space="preserve">Semestral</t>
  </si>
  <si>
    <t xml:space="preserve">17% descuento · Bs. 249/mes equiv.</t>
  </si>
  <si>
    <t xml:space="preserve">★ Plan semestral = mejor valor para el cliente y para la empresa</t>
  </si>
  <si>
    <t xml:space="preserve">COMPARATIVA DE FUNCIONALIDADES</t>
  </si>
  <si>
    <t xml:space="preserve">FUNCIONALIDAD</t>
  </si>
  <si>
    <t xml:space="preserve">GRATUITO — 14 días trial</t>
  </si>
  <si>
    <t xml:space="preserve">PLAN PROFESIONAL — Bs. 300/mes</t>
  </si>
  <si>
    <t xml:space="preserve">── TRANSMISIONES ──</t>
  </si>
  <si>
    <t xml:space="preserve">Transmisiones / mes</t>
  </si>
  <si>
    <t xml:space="preserve">2</t>
  </si>
  <si>
    <t xml:space="preserve">Ilimitadas</t>
  </si>
  <si>
    <t xml:space="preserve">Plataformas integradas</t>
  </si>
  <si>
    <t xml:space="preserve">Solo TikTok</t>
  </si>
  <si>
    <t xml:space="preserve">TikTok + Facebook + Instagram</t>
  </si>
  <si>
    <t xml:space="preserve">Duración por transmisión</t>
  </si>
  <si>
    <t xml:space="preserve">1 hora</t>
  </si>
  <si>
    <t xml:space="preserve">Sin límite</t>
  </si>
  <si>
    <t xml:space="preserve">── CONTROL DE STOCK ──</t>
  </si>
  <si>
    <t xml:space="preserve">Productos en catálogo</t>
  </si>
  <si>
    <t xml:space="preserve">20</t>
  </si>
  <si>
    <t xml:space="preserve">Ilimitados</t>
  </si>
  <si>
    <t xml:space="preserve">Variantes (talla / color)</t>
  </si>
  <si>
    <t xml:space="preserve">❌</t>
  </si>
  <si>
    <t xml:space="preserve">✅ Tiempo real</t>
  </si>
  <si>
    <t xml:space="preserve">Stock en tiempo real (WebSocket)</t>
  </si>
  <si>
    <t xml:space="preserve">✅ Actualización instantánea</t>
  </si>
  <si>
    <t xml:space="preserve">Alerta de sobreventas</t>
  </si>
  <si>
    <t xml:space="preserve">✅ Automática</t>
  </si>
  <si>
    <t xml:space="preserve">── AUTOMATIZACIÓN DE PEDIDOS ──</t>
  </si>
  <si>
    <t xml:space="preserve">Reservas automáticas durante el live</t>
  </si>
  <si>
    <t xml:space="preserve">50/mes</t>
  </si>
  <si>
    <t xml:space="preserve">Expiración automática de reservas</t>
  </si>
  <si>
    <t xml:space="preserve">✅ Configurable</t>
  </si>
  <si>
    <t xml:space="preserve">Panel post-transmisión</t>
  </si>
  <si>
    <t xml:space="preserve">Básico</t>
  </si>
  <si>
    <t xml:space="preserve">Completo + historial</t>
  </si>
  <si>
    <t xml:space="preserve">Exportar pedidos a Excel</t>
  </si>
  <si>
    <t xml:space="preserve">✅</t>
  </si>
  <si>
    <t xml:space="preserve">── PAGOS BOLIVIA ──</t>
  </si>
  <si>
    <t xml:space="preserve">Tigo Money / QR</t>
  </si>
  <si>
    <t xml:space="preserve">Manual</t>
  </si>
  <si>
    <t xml:space="preserve">✅ Automático</t>
  </si>
  <si>
    <t xml:space="preserve">Banco Unión QR</t>
  </si>
  <si>
    <t xml:space="preserve">✅ Integrado</t>
  </si>
  <si>
    <t xml:space="preserve">Enlace de pago propio</t>
  </si>
  <si>
    <t xml:space="preserve">── COMUNICACIÓN ──</t>
  </si>
  <si>
    <t xml:space="preserve">Notificaciones WhatsApp automáticas</t>
  </si>
  <si>
    <t xml:space="preserve">✅ Confirmación + estado</t>
  </si>
  <si>
    <t xml:space="preserve">Respuestas automáticas IA</t>
  </si>
  <si>
    <t xml:space="preserve">✅ Entiende 'apúntame 2 del azul'</t>
  </si>
  <si>
    <t xml:space="preserve">── ANALYTICS ──</t>
  </si>
  <si>
    <t xml:space="preserve">Estadísticas de ventas por live</t>
  </si>
  <si>
    <t xml:space="preserve">Completo</t>
  </si>
  <si>
    <t xml:space="preserve">Reportes mensuales</t>
  </si>
  <si>
    <t xml:space="preserve">── CUENTA Y SOPORTE ──</t>
  </si>
  <si>
    <t xml:space="preserve">Marca de agua en la plataforma</t>
  </si>
  <si>
    <t xml:space="preserve">Sí</t>
  </si>
  <si>
    <t xml:space="preserve">Sin marca</t>
  </si>
  <si>
    <t xml:space="preserve">Usuarios por cuenta</t>
  </si>
  <si>
    <t xml:space="preserve">1</t>
  </si>
  <si>
    <t xml:space="preserve">Hasta 3</t>
  </si>
  <si>
    <t xml:space="preserve">Soporte técnico</t>
  </si>
  <si>
    <t xml:space="preserve">Solo email</t>
  </si>
  <si>
    <t xml:space="preserve">WhatsApp prioritario SCZ</t>
  </si>
  <si>
    <t xml:space="preserve">Capacitación / onboarding</t>
  </si>
  <si>
    <t xml:space="preserve">1 sesión guiada</t>
  </si>
  <si>
    <t xml:space="preserve">PRECIO</t>
  </si>
  <si>
    <t xml:space="preserve">Bs. 0</t>
  </si>
  <si>
    <t xml:space="preserve">Bs. 300/mes  ·  Bs. 810/trim.  ·  Bs. 1499/sem.</t>
  </si>
  <si>
    <t xml:space="preserve">🔵 Azul = dato editable (input)   ⚫ Negro = fórmula automática   ★ Comisión asesor: 25% pago único sobre el primer pago · sin comisión en renovaciones</t>
  </si>
  <si>
    <t xml:space="preserve">ESTRUCTURA DE COMISIONES PARA ASESORES COMERCIALES</t>
  </si>
  <si>
    <t xml:space="preserve">• Comisión de CONVERSIÓN (25%): Pago ÚNICO sobre el primer pago del cliente, independientemente de la periodicidad (mensual, trimestral o semestral).
• Sin comisión de retención: el modelo simplificado premia el cierre rápido con clientes de calidad que permanecerán activos.
• El asesor que vende un plan semestral cobra hasta Bs. 373 de golpe por un solo cliente, asegurando retención de 6 meses para la empresa.</t>
  </si>
  <si>
    <t xml:space="preserve">A)  COMISIÓN DE CONVERSIÓN — Primer pago del cliente (25% — pago único)</t>
  </si>
  <si>
    <t xml:space="preserve">PRECIO COBRADO Bs.</t>
  </si>
  <si>
    <t xml:space="preserve">COMISIÓN 25% Bs.</t>
  </si>
  <si>
    <t xml:space="preserve">COSTO OPS. UNIT. Bs.</t>
  </si>
  <si>
    <t xml:space="preserve">UTILIDAD EMPRESA Bs.</t>
  </si>
  <si>
    <t xml:space="preserve">% SOBRE PRECIO MENSUAL</t>
  </si>
  <si>
    <t xml:space="preserve">Cobro mensual recurrente</t>
  </si>
  <si>
    <t xml:space="preserve">Cobro único por 3 meses</t>
  </si>
  <si>
    <t xml:space="preserve">Cobro único por 6 meses</t>
  </si>
  <si>
    <t xml:space="preserve">B)  ¿POR QUÉ EMPUJAR PLANES TRIMESTRALES Y SEMESTRALES?</t>
  </si>
  <si>
    <t xml:space="preserve">COM. ASESOR (pago único) Bs.</t>
  </si>
  <si>
    <t xml:space="preserve">RETENCIÓN GARANTIZADA</t>
  </si>
  <si>
    <t xml:space="preserve">INGRESO EMP. ASEGURADO Bs.</t>
  </si>
  <si>
    <t xml:space="preserve">VENTAJA PARA EL ASESOR</t>
  </si>
  <si>
    <t xml:space="preserve">VENTAJA PARA LA EMPRESA</t>
  </si>
  <si>
    <t xml:space="preserve">1 mes</t>
  </si>
  <si>
    <t xml:space="preserve">Cobro rápido</t>
  </si>
  <si>
    <t xml:space="preserve">Flujo mensual constante</t>
  </si>
  <si>
    <t xml:space="preserve">3 meses</t>
  </si>
  <si>
    <t xml:space="preserve">Bs. 202 de golpe (vs Bs. 75/mes)</t>
  </si>
  <si>
    <t xml:space="preserve">Retención garantizada 3 meses</t>
  </si>
  <si>
    <t xml:space="preserve">6 meses</t>
  </si>
  <si>
    <t xml:space="preserve">Bs. 375 de golpe → máximo por cliente</t>
  </si>
  <si>
    <t xml:space="preserve">Retención garantizada 6 meses · mejor LTV</t>
  </si>
  <si>
    <t xml:space="preserve">C)  SIMULADOR DE INGRESO DEL ASESOR — Por etapa de madurez</t>
  </si>
  <si>
    <t xml:space="preserve">ETAPA</t>
  </si>
  <si>
    <t xml:space="preserve">NUEVOS CLIENTES/MES</t>
  </si>
  <si>
    <t xml:space="preserve">MIX PLAN NUEVO</t>
  </si>
  <si>
    <t xml:space="preserve">COM. CONVERSIÓN Bs./MES</t>
  </si>
  <si>
    <t xml:space="preserve">CLIENTES ACTIVOS (acumulado)</t>
  </si>
  <si>
    <t xml:space="preserve">INGRESO TOTAL ASESOR Bs./MES</t>
  </si>
  <si>
    <t xml:space="preserve">INGRESO TOTAL Bs./AÑO</t>
  </si>
  <si>
    <t xml:space="preserve">EQUIV. MENSUAL EMPRESA Bs.</t>
  </si>
  <si>
    <t xml:space="preserve">OBSERVACIÓN</t>
  </si>
  <si>
    <t xml:space="preserve">Lanzamiento
(mes 1–3)</t>
  </si>
  <si>
    <t xml:space="preserve">2 Mensual</t>
  </si>
  <si>
    <t xml:space="preserve">Construcción de cartera</t>
  </si>
  <si>
    <t xml:space="preserve">Crecimiento
(mes 4–6)</t>
  </si>
  <si>
    <t xml:space="preserve">3 Mensual + 1 Trim.</t>
  </si>
  <si>
    <t xml:space="preserve">Empieza a empujar trimestrales</t>
  </si>
  <si>
    <t xml:space="preserve">Aceleración
(mes 7–9)</t>
  </si>
  <si>
    <t xml:space="preserve">2 Mensual + 2 Trim. + 1 Sem.</t>
  </si>
  <si>
    <t xml:space="preserve">Semestrales = máx. comisión</t>
  </si>
  <si>
    <t xml:space="preserve">Consolidado
(mes 10–12)</t>
  </si>
  <si>
    <t xml:space="preserve">2 Mensual + 2 Trim. + 2 Sem.</t>
  </si>
  <si>
    <t xml:space="preserve">Cartera madura · flujo estable</t>
  </si>
  <si>
    <t xml:space="preserve">Maduro
(mes 13+)</t>
  </si>
  <si>
    <t xml:space="preserve">1 Mensual + 1 Trim. + 2 Sem.</t>
  </si>
  <si>
    <t xml:space="preserve">Cartera grande · cierra semestrales</t>
  </si>
  <si>
    <t xml:space="preserve">💡 ESTRATEGIA CLAVE: Empujar planes trimestrales y semestrales genera comisiones mayores de golpe para el asesor (hasta Bs. 375 por un plan semestral) y asegura retención garantizada para la empresa durante 3–6 meses. Con el nuevo costo operativo bajado a Bs. 345/mes base (vs Bs. 1,350 anterior), el break-even es mucho más fácil de alcanzar.</t>
  </si>
  <si>
    <t xml:space="preserve">ANÁLISIS DE RENTABILIDAD — NUEVA ESTRUCTURA DE COSTOS</t>
  </si>
  <si>
    <t xml:space="preserve">SUPUESTOS BASE (editables — azul)</t>
  </si>
  <si>
    <t xml:space="preserve">Precio mensual (Bs.)</t>
  </si>
  <si>
    <t xml:space="preserve">Precio único del plan profesional</t>
  </si>
  <si>
    <t xml:space="preserve">Descuento trimestral (%)</t>
  </si>
  <si>
    <t xml:space="preserve">10% · precio trim. = Bs. 810</t>
  </si>
  <si>
    <t xml:space="preserve">Descuento semestral (%)</t>
  </si>
  <si>
    <t xml:space="preserve">17% · precio sem. = Bs. 1,494</t>
  </si>
  <si>
    <t xml:space="preserve">Comisión asesor primer pago (%)</t>
  </si>
  <si>
    <t xml:space="preserve">25% pago único de conversión</t>
  </si>
  <si>
    <t xml:space="preserve">Costo operativo fijo / mes Bs.</t>
  </si>
  <si>
    <t xml:space="preserve">Infra: Railway+Supabase+Upstash+R2+CF (~$50 USD)</t>
  </si>
  <si>
    <t xml:space="preserve">Costo variable por cliente / mes Bs.</t>
  </si>
  <si>
    <t xml:space="preserve">Infra prorrateada + WhatsApp + soporte</t>
  </si>
  <si>
    <t xml:space="preserve">PUNTO DE EQUILIBRIO (BREAK-EVEN) POR PERIODICIDAD</t>
  </si>
  <si>
    <t xml:space="preserve">COM. ASESOR Bs.</t>
  </si>
  <si>
    <t xml:space="preserve">INGRESO NETO EMP. Bs.</t>
  </si>
  <si>
    <t xml:space="preserve">COSTO FIJO Bs.</t>
  </si>
  <si>
    <t xml:space="preserve">CLIENTES PARA BREAK-EVEN</t>
  </si>
  <si>
    <t xml:space="preserve">INGRESO EN BREAK-EVEN Bs.</t>
  </si>
  <si>
    <t xml:space="preserve">MARGEN BRUTO/CLIENTE Bs.</t>
  </si>
  <si>
    <t xml:space="preserve">MARGEN BRUTO %</t>
  </si>
  <si>
    <t xml:space="preserve">📌 Con la nueva infraestructura (Bs. 345/mes base vs. Bs. 1,350 anterior), el break-even baja a solo 2 clientes mensuales vs. 10 antes. Cada cliente genera Bs. 291 de margen bruto después del costo variable.</t>
  </si>
  <si>
    <t xml:space="preserve">INGRESOS MENSUALES SEGÚN MIX DE CLIENTES  (Costo fijo base: Bs. 345/mes)</t>
  </si>
  <si>
    <t xml:space="preserve">ESCENARIO</t>
  </si>
  <si>
    <t xml:space="preserve">CLI. MENSUAL</t>
  </si>
  <si>
    <t xml:space="preserve">CLI. TRIMESTRAL</t>
  </si>
  <si>
    <t xml:space="preserve">CLI. SEMESTRAL</t>
  </si>
  <si>
    <t xml:space="preserve">TOTAL CLIENTES</t>
  </si>
  <si>
    <t xml:space="preserve">INGRESO BRUTO Bs.</t>
  </si>
  <si>
    <t xml:space="preserve">COM. ASESORES Bs.</t>
  </si>
  <si>
    <t xml:space="preserve">COSTO OPS. TOTAL Bs.</t>
  </si>
  <si>
    <t xml:space="preserve">INGRESO NETO Bs.</t>
  </si>
  <si>
    <t xml:space="preserve">Inicio (5 clientes)</t>
  </si>
  <si>
    <t xml:space="preserve">Crecimiento (15 clientes)</t>
  </si>
  <si>
    <t xml:space="preserve">Escalado (30 clientes)</t>
  </si>
  <si>
    <t xml:space="preserve">Maduro (60 clientes)</t>
  </si>
  <si>
    <t xml:space="preserve">Óptimo (100 clientes)</t>
  </si>
  <si>
    <t xml:space="preserve">PROYECCIÓN MES A MES — AÑO 1  (Escenario base: +8 clientes/mes nuevos · churn 5% · mix 60/25/15)</t>
  </si>
  <si>
    <t xml:space="preserve">MES</t>
  </si>
  <si>
    <t xml:space="preserve">NUEVOS CLIENTES</t>
  </si>
  <si>
    <t xml:space="preserve">CHURN (5%)</t>
  </si>
  <si>
    <t xml:space="preserve">TOTAL ACTIVOS</t>
  </si>
  <si>
    <t xml:space="preserve">COM. ASESOR 25% Bs.</t>
  </si>
  <si>
    <t xml:space="preserve">ESTADO</t>
  </si>
  <si>
    <t xml:space="preserve">Mes 1</t>
  </si>
  <si>
    <t xml:space="preserve">🟢 Rentable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</si>
  <si>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</si>
  <si>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</si>
  <si>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</si>
  <si>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</si>
  <si>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</si>
  <si>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</si>
  <si>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</si>
  <si>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</si>
  <si>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</si>
  <si>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</si>
  <si>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</si>
  <si>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AÑO 1 TOTAL</t>
  </si>
  <si>
    <t xml:space="preserve">Bs. 132,995 año 1</t>
  </si>
  <si>
    <t xml:space="preserve">📌 Costo operativo por cliente: Bs. 9/mes variable + Bs. 345 fijo base. Break-even: 2 clientes (vs. 10 con infra anterior). El churn del 5% mensual es conservador — con buen onboarding puede bajar a 2–3%, lo que acelera el crecimiento neto significativamente.</t>
  </si>
  <si>
    <t xml:space="preserve">ANÁLISIS DE COMPETENCIA — POSICIONAMIENTO EN EL MERCADO BOLIVIANO</t>
  </si>
  <si>
    <t xml:space="preserve">COMPETENCIA INTERNACIONAL</t>
  </si>
  <si>
    <t xml:space="preserve">EMPRESA</t>
  </si>
  <si>
    <t xml:space="preserve">PRECIO/MES Bs. equiv.</t>
  </si>
  <si>
    <t xml:space="preserve">LIVE SHOP</t>
  </si>
  <si>
    <t xml:space="preserve">PAGOS LOCALES BO</t>
  </si>
  <si>
    <t xml:space="preserve">IDIOMA</t>
  </si>
  <si>
    <t xml:space="preserve">SOPORTE LOCAL</t>
  </si>
  <si>
    <t xml:space="preserve">PLANES MULTI-MES</t>
  </si>
  <si>
    <t xml:space="preserve">AMENAZA</t>
  </si>
  <si>
    <t xml:space="preserve">CommentSold</t>
  </si>
  <si>
    <t xml:space="preserve">338–1,724</t>
  </si>
  <si>
    <t xml:space="preserve">Inglés</t>
  </si>
  <si>
    <t xml:space="preserve">Solo mensual</t>
  </si>
  <si>
    <t xml:space="preserve">MEDIA</t>
  </si>
  <si>
    <t xml:space="preserve">Go Live</t>
  </si>
  <si>
    <t xml:space="preserve">269–1,030</t>
  </si>
  <si>
    <t xml:space="preserve">Bambuser</t>
  </si>
  <si>
    <t xml:space="preserve">&gt;3,000</t>
  </si>
  <si>
    <t xml:space="preserve">Enterprise</t>
  </si>
  <si>
    <t xml:space="preserve">BAJA</t>
  </si>
  <si>
    <t xml:space="preserve">Instagram Live</t>
  </si>
  <si>
    <t xml:space="preserve">0</t>
  </si>
  <si>
    <t xml:space="preserve">Varios</t>
  </si>
  <si>
    <t xml:space="preserve">—</t>
  </si>
  <si>
    <t xml:space="preserve">ALTA</t>
  </si>
  <si>
    <t xml:space="preserve">Facebook Live</t>
  </si>
  <si>
    <t xml:space="preserve">TikTok Shop</t>
  </si>
  <si>
    <t xml:space="preserve">Comisión</t>
  </si>
  <si>
    <t xml:space="preserve">COMPETENCIA LOCAL / LATAM</t>
  </si>
  <si>
    <t xml:space="preserve">PRECIO/MES Bs.</t>
  </si>
  <si>
    <t xml:space="preserve">❌ Sin competidor directo en Bolivia</t>
  </si>
  <si>
    <t xml:space="preserve">🟢 OPORTUNIDAD</t>
  </si>
  <si>
    <t xml:space="preserve">Tiendanube</t>
  </si>
  <si>
    <t xml:space="preserve">0–700</t>
  </si>
  <si>
    <t xml:space="preserve">Español</t>
  </si>
  <si>
    <t xml:space="preserve">Jumpseller</t>
  </si>
  <si>
    <t xml:space="preserve">150–700</t>
  </si>
  <si>
    <t xml:space="preserve">Mercado Libre</t>
  </si>
  <si>
    <t xml:space="preserve">Parcial</t>
  </si>
  <si>
    <t xml:space="preserve">POSICIONAMIENTO DE PRECIO — NOSOTROS vs. COMPETENCIA</t>
  </si>
  <si>
    <t xml:space="preserve">PLATAFORMA</t>
  </si>
  <si>
    <t xml:space="preserve">PRECIO/TRIM Bs.</t>
  </si>
  <si>
    <t xml:space="preserve">PRECIO/SEM Bs.</t>
  </si>
  <si>
    <t xml:space="preserve">LIVE + PAGOS BO</t>
  </si>
  <si>
    <t xml:space="preserve">POSICIÓN</t>
  </si>
  <si>
    <t xml:space="preserve">RELACIÓN PRECIO/VALOR</t>
  </si>
  <si>
    <t xml:space="preserve">6× más caro, sin BO</t>
  </si>
  <si>
    <t xml:space="preserve">Excesivo para Bolivia</t>
  </si>
  <si>
    <t xml:space="preserve">4× más caro, sin BO</t>
  </si>
  <si>
    <t xml:space="preserve">Instagram / Facebook Live</t>
  </si>
  <si>
    <t xml:space="preserve">Gratis pero sin gestión</t>
  </si>
  <si>
    <t xml:space="preserve">No resuelve el problema</t>
  </si>
  <si>
    <t xml:space="preserve">Sin control de stock</t>
  </si>
  <si>
    <t xml:space="preserve">No automatiza pedidos</t>
  </si>
  <si>
    <t xml:space="preserve">★ NOSOTROS — Plan Profesional</t>
  </si>
  <si>
    <t xml:space="preserve">300</t>
  </si>
  <si>
    <t xml:space="preserve">810</t>
  </si>
  <si>
    <t xml:space="preserve">1499</t>
  </si>
  <si>
    <t xml:space="preserve">★ REFERENCIA DEL MERCADO</t>
  </si>
  <si>
    <t xml:space="preserve">Único con live+stock+pagos BO</t>
  </si>
  <si>
    <t xml:space="preserve">🎯 VENTAJA ÚNICA: Somos la única plataforma con automatización de live ventas + control de stock en tiempo real + prevención de sobreventas + pagos bolivianos (Tigo Money / Banco Unión QR) + soporte local en Santa Cruz. La competencia internacional cuesta entre 4× y 10× más y no está adaptada al mercado boliviano. Ningún competidor local existe todavía en este nicho específico.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</si>
</sst>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Bs.&quot;;\(#,##0&quot; Bs.)&quot;;\-"/>
    <numFmt numFmtId="166" formatCode="0.0%;\(0.0%\);\-"/>
    <numFmt numFmtId="167" formatCode="\$#,##0;&quot;($&quot;#,##0;\-"/>
    <numFmt numFmtId="168" formatCode="#,##0;\(#,##0\)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A3D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C2410C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16A34A"/>
      <name val="Arial"/>
      <family val="0"/>
      <charset val="1"/>
    </font>
    <font>
      <b val="true"/>
      <sz val="9"/>
      <color rgb="FF14532D"/>
      <name val="Arial"/>
      <family val="0"/>
      <charset val="1"/>
    </font>
    <font>
      <b val="true"/>
      <sz val="9"/>
      <color rgb="FF1A3D6B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1A3D6B"/>
      <name val="Arial"/>
      <family val="0"/>
      <charset val="1"/>
    </font>
    <font>
      <sz val="9"/>
      <color rgb="FF14532D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991B1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9"/>
      <color rgb="FFC2410C"/>
      <name val="Arial"/>
      <family val="0"/>
      <charset val="1"/>
    </font>
    <font>
      <b val="true"/>
      <sz val="9"/>
      <color rgb="FF991B1B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D6B"/>
        <bgColor rgb="FF374151"/>
      </patternFill>
    </fill>
    <fill>
      <patternFill patternType="solid">
        <fgColor rgb="FFDBEAFE"/>
        <bgColor rgb="FFE5E7EB"/>
      </patternFill>
    </fill>
    <fill>
      <patternFill patternType="solid">
        <fgColor rgb="FFFFFFFF"/>
        <bgColor rgb="FFFFF7ED"/>
      </patternFill>
    </fill>
    <fill>
      <patternFill patternType="solid">
        <fgColor rgb="FFFEF3C7"/>
        <bgColor rgb="FFFFF7ED"/>
      </patternFill>
    </fill>
    <fill>
      <patternFill patternType="solid">
        <fgColor rgb="FFDCFCE7"/>
        <bgColor rgb="FFF0FDF4"/>
      </patternFill>
    </fill>
    <fill>
      <patternFill patternType="solid">
        <fgColor rgb="FFEFF6FF"/>
        <bgColor rgb="FFF3F4F6"/>
      </patternFill>
    </fill>
    <fill>
      <patternFill patternType="solid">
        <fgColor rgb="FF1F2937"/>
        <bgColor rgb="FF333300"/>
      </patternFill>
    </fill>
    <fill>
      <patternFill patternType="solid">
        <fgColor rgb="FF374151"/>
        <bgColor rgb="FF1A3D6B"/>
      </patternFill>
    </fill>
    <fill>
      <patternFill patternType="solid">
        <fgColor rgb="FFF0FDF4"/>
        <bgColor rgb="FFEFF6FF"/>
      </patternFill>
    </fill>
    <fill>
      <patternFill patternType="solid">
        <fgColor rgb="FFF3F4F6"/>
        <bgColor rgb="FFEFF6FF"/>
      </patternFill>
    </fill>
    <fill>
      <patternFill patternType="solid">
        <fgColor rgb="FFFED7AA"/>
        <bgColor rgb="FFFEE2E2"/>
      </patternFill>
    </fill>
    <fill>
      <patternFill patternType="solid">
        <fgColor rgb="FFFFF7ED"/>
        <bgColor rgb="FFF3F4F6"/>
      </patternFill>
    </fill>
    <fill>
      <patternFill patternType="solid">
        <fgColor rgb="FF16A34A"/>
        <bgColor rgb="FF008080"/>
      </patternFill>
    </fill>
    <fill>
      <patternFill patternType="solid">
        <fgColor rgb="FFFEE2E2"/>
        <bgColor rgb="FFE5E7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A3D6B"/>
      </left>
      <right style="thin">
        <color rgb="FF1A3D6B"/>
      </right>
      <top style="thin">
        <color rgb="FF1A3D6B"/>
      </top>
      <bottom style="thin">
        <color rgb="FF1A3D6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E2E2"/>
      <rgbColor rgb="FF808080"/>
      <rgbColor rgb="FF9999FF"/>
      <rgbColor rgb="FFC2410C"/>
      <rgbColor rgb="FFFEF3C7"/>
      <rgbColor rgb="FFDCFCE7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FF7ED"/>
      <rgbColor rgb="FFEFF6FF"/>
      <rgbColor rgb="FFF3F4F6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A3D6B"/>
      <rgbColor rgb="FF16A34A"/>
      <rgbColor rgb="FF14532D"/>
      <rgbColor rgb="FF333300"/>
      <rgbColor rgb="FF991B1B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D6B"/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7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6" hidden="false" customHeight="true" outlineLevel="0" collapsed="false"/>
    <row r="5" customFormat="false" ht="31.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customFormat="false" ht="21.75" hidden="false" customHeight="true" outlineLevel="0" collapsed="false">
      <c r="A6" s="4" t="s">
        <v>11</v>
      </c>
      <c r="B6" s="5" t="n">
        <v>300</v>
      </c>
      <c r="C6" s="6" t="n">
        <v>300</v>
      </c>
      <c r="D6" s="7" t="n">
        <v>0</v>
      </c>
      <c r="E6" s="8" t="n">
        <v>0</v>
      </c>
      <c r="F6" s="9" t="n">
        <v>43</v>
      </c>
      <c r="G6" s="10" t="n">
        <v>75</v>
      </c>
      <c r="H6" s="11" t="n">
        <v>225</v>
      </c>
      <c r="I6" s="12" t="s">
        <v>12</v>
      </c>
    </row>
    <row r="7" customFormat="false" ht="21.75" hidden="false" customHeight="true" outlineLevel="0" collapsed="false">
      <c r="A7" s="13" t="s">
        <v>13</v>
      </c>
      <c r="B7" s="5" t="n">
        <v>810</v>
      </c>
      <c r="C7" s="14" t="n">
        <v>270</v>
      </c>
      <c r="D7" s="15" t="n">
        <v>90</v>
      </c>
      <c r="E7" s="16" t="n">
        <v>0.1</v>
      </c>
      <c r="F7" s="17" t="n">
        <v>117</v>
      </c>
      <c r="G7" s="18" t="n">
        <v>202</v>
      </c>
      <c r="H7" s="19" t="n">
        <v>608</v>
      </c>
      <c r="I7" s="20" t="s">
        <v>14</v>
      </c>
    </row>
    <row r="8" customFormat="false" ht="21.75" hidden="false" customHeight="true" outlineLevel="0" collapsed="false">
      <c r="A8" s="4" t="s">
        <v>15</v>
      </c>
      <c r="B8" s="5" t="n">
        <v>1499</v>
      </c>
      <c r="C8" s="6" t="n">
        <v>250</v>
      </c>
      <c r="D8" s="21" t="n">
        <v>301</v>
      </c>
      <c r="E8" s="22" t="n">
        <v>0.167</v>
      </c>
      <c r="F8" s="9" t="n">
        <v>217</v>
      </c>
      <c r="G8" s="10" t="n">
        <v>375</v>
      </c>
      <c r="H8" s="23" t="n">
        <v>1124</v>
      </c>
      <c r="I8" s="12" t="s">
        <v>16</v>
      </c>
    </row>
    <row r="9" customFormat="false" ht="19.5" hidden="false" customHeight="true" outlineLevel="0" collapsed="false">
      <c r="A9" s="24" t="s">
        <v>17</v>
      </c>
      <c r="B9" s="24"/>
      <c r="C9" s="24"/>
      <c r="D9" s="24"/>
      <c r="E9" s="24"/>
      <c r="F9" s="24"/>
      <c r="G9" s="24"/>
      <c r="H9" s="24"/>
      <c r="I9" s="24"/>
    </row>
    <row r="10" customFormat="false" ht="9.75" hidden="false" customHeight="true" outlineLevel="0" collapsed="false"/>
    <row r="11" customFormat="false" ht="19.5" hidden="false" customHeight="true" outlineLevel="0" collapsed="false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 customFormat="false" ht="6" hidden="false" customHeight="true" outlineLevel="0" collapsed="false"/>
    <row r="13" customFormat="false" ht="27.75" hidden="false" customHeight="true" outlineLevel="0" collapsed="false">
      <c r="A13" s="25" t="s">
        <v>19</v>
      </c>
      <c r="B13" s="26" t="s">
        <v>20</v>
      </c>
      <c r="C13" s="3" t="s">
        <v>21</v>
      </c>
      <c r="D13" s="3"/>
      <c r="E13" s="3"/>
      <c r="F13" s="3"/>
      <c r="G13" s="3"/>
      <c r="H13" s="3"/>
      <c r="I13" s="3"/>
    </row>
    <row r="14" customFormat="false" ht="19.5" hidden="false" customHeight="true" outlineLevel="0" collapsed="false">
      <c r="A14" s="27" t="s">
        <v>22</v>
      </c>
      <c r="B14" s="27"/>
      <c r="C14" s="27"/>
      <c r="D14" s="27"/>
      <c r="E14" s="27"/>
      <c r="F14" s="27"/>
      <c r="G14" s="27"/>
      <c r="H14" s="27"/>
      <c r="I14" s="27"/>
    </row>
    <row r="15" customFormat="false" ht="18" hidden="false" customHeight="true" outlineLevel="0" collapsed="false">
      <c r="A15" s="28" t="s">
        <v>23</v>
      </c>
      <c r="B15" s="29" t="s">
        <v>24</v>
      </c>
      <c r="C15" s="30" t="s">
        <v>25</v>
      </c>
      <c r="D15" s="31"/>
      <c r="E15" s="31"/>
      <c r="F15" s="31"/>
      <c r="G15" s="31"/>
      <c r="H15" s="31"/>
      <c r="I15" s="31"/>
    </row>
    <row r="16" customFormat="false" ht="18" hidden="false" customHeight="true" outlineLevel="0" collapsed="false">
      <c r="A16" s="32" t="s">
        <v>26</v>
      </c>
      <c r="B16" s="33" t="s">
        <v>27</v>
      </c>
      <c r="C16" s="33" t="s">
        <v>28</v>
      </c>
      <c r="D16" s="34"/>
      <c r="E16" s="34"/>
      <c r="F16" s="34"/>
      <c r="G16" s="34"/>
      <c r="H16" s="34"/>
      <c r="I16" s="34"/>
    </row>
    <row r="17" customFormat="false" ht="18" hidden="false" customHeight="true" outlineLevel="0" collapsed="false">
      <c r="A17" s="28" t="s">
        <v>29</v>
      </c>
      <c r="B17" s="29" t="s">
        <v>30</v>
      </c>
      <c r="C17" s="30" t="s">
        <v>31</v>
      </c>
      <c r="D17" s="31"/>
      <c r="E17" s="31"/>
      <c r="F17" s="31"/>
      <c r="G17" s="31"/>
      <c r="H17" s="31"/>
      <c r="I17" s="31"/>
    </row>
    <row r="18" customFormat="false" ht="19.5" hidden="false" customHeight="true" outlineLevel="0" collapsed="false">
      <c r="A18" s="27" t="s">
        <v>32</v>
      </c>
      <c r="B18" s="27"/>
      <c r="C18" s="27"/>
      <c r="D18" s="27"/>
      <c r="E18" s="27"/>
      <c r="F18" s="27"/>
      <c r="G18" s="27"/>
      <c r="H18" s="27"/>
      <c r="I18" s="27"/>
    </row>
    <row r="19" customFormat="false" ht="18" hidden="false" customHeight="true" outlineLevel="0" collapsed="false">
      <c r="A19" s="28" t="s">
        <v>33</v>
      </c>
      <c r="B19" s="29" t="s">
        <v>34</v>
      </c>
      <c r="C19" s="30" t="s">
        <v>35</v>
      </c>
      <c r="D19" s="31"/>
      <c r="E19" s="31"/>
      <c r="F19" s="31"/>
      <c r="G19" s="31"/>
      <c r="H19" s="31"/>
      <c r="I19" s="31"/>
    </row>
    <row r="20" customFormat="false" ht="18" hidden="false" customHeight="true" outlineLevel="0" collapsed="false">
      <c r="A20" s="32" t="s">
        <v>36</v>
      </c>
      <c r="B20" s="35" t="s">
        <v>37</v>
      </c>
      <c r="C20" s="36" t="s">
        <v>38</v>
      </c>
      <c r="D20" s="34"/>
      <c r="E20" s="34"/>
      <c r="F20" s="34"/>
      <c r="G20" s="34"/>
      <c r="H20" s="34"/>
      <c r="I20" s="34"/>
    </row>
    <row r="21" customFormat="false" ht="18" hidden="false" customHeight="true" outlineLevel="0" collapsed="false">
      <c r="A21" s="28" t="s">
        <v>39</v>
      </c>
      <c r="B21" s="37" t="s">
        <v>37</v>
      </c>
      <c r="C21" s="38" t="s">
        <v>40</v>
      </c>
      <c r="D21" s="31"/>
      <c r="E21" s="31"/>
      <c r="F21" s="31"/>
      <c r="G21" s="31"/>
      <c r="H21" s="31"/>
      <c r="I21" s="31"/>
    </row>
    <row r="22" customFormat="false" ht="18" hidden="false" customHeight="true" outlineLevel="0" collapsed="false">
      <c r="A22" s="32" t="s">
        <v>41</v>
      </c>
      <c r="B22" s="35" t="s">
        <v>37</v>
      </c>
      <c r="C22" s="36" t="s">
        <v>42</v>
      </c>
      <c r="D22" s="34"/>
      <c r="E22" s="34"/>
      <c r="F22" s="34"/>
      <c r="G22" s="34"/>
      <c r="H22" s="34"/>
      <c r="I22" s="34"/>
    </row>
    <row r="23" customFormat="false" ht="19.5" hidden="false" customHeight="true" outlineLevel="0" collapsed="false">
      <c r="A23" s="27" t="s">
        <v>43</v>
      </c>
      <c r="B23" s="27"/>
      <c r="C23" s="27"/>
      <c r="D23" s="27"/>
      <c r="E23" s="27"/>
      <c r="F23" s="27"/>
      <c r="G23" s="27"/>
      <c r="H23" s="27"/>
      <c r="I23" s="27"/>
    </row>
    <row r="24" customFormat="false" ht="18" hidden="false" customHeight="true" outlineLevel="0" collapsed="false">
      <c r="A24" s="32" t="s">
        <v>44</v>
      </c>
      <c r="B24" s="33" t="s">
        <v>45</v>
      </c>
      <c r="C24" s="39" t="s">
        <v>25</v>
      </c>
      <c r="D24" s="34"/>
      <c r="E24" s="34"/>
      <c r="F24" s="34"/>
      <c r="G24" s="34"/>
      <c r="H24" s="34"/>
      <c r="I24" s="34"/>
    </row>
    <row r="25" customFormat="false" ht="18" hidden="false" customHeight="true" outlineLevel="0" collapsed="false">
      <c r="A25" s="28" t="s">
        <v>46</v>
      </c>
      <c r="B25" s="37" t="s">
        <v>37</v>
      </c>
      <c r="C25" s="38" t="s">
        <v>47</v>
      </c>
      <c r="D25" s="31"/>
      <c r="E25" s="31"/>
      <c r="F25" s="31"/>
      <c r="G25" s="31"/>
      <c r="H25" s="31"/>
      <c r="I25" s="31"/>
    </row>
    <row r="26" customFormat="false" ht="18" hidden="false" customHeight="true" outlineLevel="0" collapsed="false">
      <c r="A26" s="32" t="s">
        <v>48</v>
      </c>
      <c r="B26" s="33" t="s">
        <v>49</v>
      </c>
      <c r="C26" s="33" t="s">
        <v>50</v>
      </c>
      <c r="D26" s="34"/>
      <c r="E26" s="34"/>
      <c r="F26" s="34"/>
      <c r="G26" s="34"/>
      <c r="H26" s="34"/>
      <c r="I26" s="34"/>
    </row>
    <row r="27" customFormat="false" ht="18" hidden="false" customHeight="true" outlineLevel="0" collapsed="false">
      <c r="A27" s="28" t="s">
        <v>51</v>
      </c>
      <c r="B27" s="37" t="s">
        <v>37</v>
      </c>
      <c r="C27" s="38" t="s">
        <v>52</v>
      </c>
      <c r="D27" s="31"/>
      <c r="E27" s="31"/>
      <c r="F27" s="31"/>
      <c r="G27" s="31"/>
      <c r="H27" s="31"/>
      <c r="I27" s="31"/>
    </row>
    <row r="28" customFormat="false" ht="19.5" hidden="false" customHeight="true" outlineLevel="0" collapsed="false">
      <c r="A28" s="27" t="s">
        <v>53</v>
      </c>
      <c r="B28" s="27"/>
      <c r="C28" s="27"/>
      <c r="D28" s="27"/>
      <c r="E28" s="27"/>
      <c r="F28" s="27"/>
      <c r="G28" s="27"/>
      <c r="H28" s="27"/>
      <c r="I28" s="27"/>
    </row>
    <row r="29" customFormat="false" ht="18" hidden="false" customHeight="true" outlineLevel="0" collapsed="false">
      <c r="A29" s="28" t="s">
        <v>54</v>
      </c>
      <c r="B29" s="29" t="s">
        <v>55</v>
      </c>
      <c r="C29" s="38" t="s">
        <v>56</v>
      </c>
      <c r="D29" s="31"/>
      <c r="E29" s="31"/>
      <c r="F29" s="31"/>
      <c r="G29" s="31"/>
      <c r="H29" s="31"/>
      <c r="I29" s="31"/>
    </row>
    <row r="30" customFormat="false" ht="18" hidden="false" customHeight="true" outlineLevel="0" collapsed="false">
      <c r="A30" s="32" t="s">
        <v>57</v>
      </c>
      <c r="B30" s="35" t="s">
        <v>37</v>
      </c>
      <c r="C30" s="36" t="s">
        <v>58</v>
      </c>
      <c r="D30" s="34"/>
      <c r="E30" s="34"/>
      <c r="F30" s="34"/>
      <c r="G30" s="34"/>
      <c r="H30" s="34"/>
      <c r="I30" s="34"/>
    </row>
    <row r="31" customFormat="false" ht="18" hidden="false" customHeight="true" outlineLevel="0" collapsed="false">
      <c r="A31" s="28" t="s">
        <v>59</v>
      </c>
      <c r="B31" s="37" t="s">
        <v>37</v>
      </c>
      <c r="C31" s="38" t="s">
        <v>52</v>
      </c>
      <c r="D31" s="31"/>
      <c r="E31" s="31"/>
      <c r="F31" s="31"/>
      <c r="G31" s="31"/>
      <c r="H31" s="31"/>
      <c r="I31" s="31"/>
    </row>
    <row r="32" customFormat="false" ht="19.5" hidden="false" customHeight="true" outlineLevel="0" collapsed="false">
      <c r="A32" s="27" t="s">
        <v>60</v>
      </c>
      <c r="B32" s="27"/>
      <c r="C32" s="27"/>
      <c r="D32" s="27"/>
      <c r="E32" s="27"/>
      <c r="F32" s="27"/>
      <c r="G32" s="27"/>
      <c r="H32" s="27"/>
      <c r="I32" s="27"/>
    </row>
    <row r="33" customFormat="false" ht="18" hidden="false" customHeight="true" outlineLevel="0" collapsed="false">
      <c r="A33" s="28" t="s">
        <v>61</v>
      </c>
      <c r="B33" s="37" t="s">
        <v>37</v>
      </c>
      <c r="C33" s="38" t="s">
        <v>62</v>
      </c>
      <c r="D33" s="31"/>
      <c r="E33" s="31"/>
      <c r="F33" s="31"/>
      <c r="G33" s="31"/>
      <c r="H33" s="31"/>
      <c r="I33" s="31"/>
    </row>
    <row r="34" customFormat="false" ht="18" hidden="false" customHeight="true" outlineLevel="0" collapsed="false">
      <c r="A34" s="32" t="s">
        <v>63</v>
      </c>
      <c r="B34" s="35" t="s">
        <v>37</v>
      </c>
      <c r="C34" s="36" t="s">
        <v>64</v>
      </c>
      <c r="D34" s="34"/>
      <c r="E34" s="34"/>
      <c r="F34" s="34"/>
      <c r="G34" s="34"/>
      <c r="H34" s="34"/>
      <c r="I34" s="34"/>
    </row>
    <row r="35" customFormat="false" ht="19.5" hidden="false" customHeight="true" outlineLevel="0" collapsed="false">
      <c r="A35" s="27" t="s">
        <v>65</v>
      </c>
      <c r="B35" s="27"/>
      <c r="C35" s="27"/>
      <c r="D35" s="27"/>
      <c r="E35" s="27"/>
      <c r="F35" s="27"/>
      <c r="G35" s="27"/>
      <c r="H35" s="27"/>
      <c r="I35" s="27"/>
    </row>
    <row r="36" customFormat="false" ht="18" hidden="false" customHeight="true" outlineLevel="0" collapsed="false">
      <c r="A36" s="32" t="s">
        <v>66</v>
      </c>
      <c r="B36" s="33" t="s">
        <v>49</v>
      </c>
      <c r="C36" s="33" t="s">
        <v>67</v>
      </c>
      <c r="D36" s="34"/>
      <c r="E36" s="34"/>
      <c r="F36" s="34"/>
      <c r="G36" s="34"/>
      <c r="H36" s="34"/>
      <c r="I36" s="34"/>
    </row>
    <row r="37" customFormat="false" ht="18" hidden="false" customHeight="true" outlineLevel="0" collapsed="false">
      <c r="A37" s="28" t="s">
        <v>68</v>
      </c>
      <c r="B37" s="37" t="s">
        <v>37</v>
      </c>
      <c r="C37" s="38" t="s">
        <v>52</v>
      </c>
      <c r="D37" s="31"/>
      <c r="E37" s="31"/>
      <c r="F37" s="31"/>
      <c r="G37" s="31"/>
      <c r="H37" s="31"/>
      <c r="I37" s="31"/>
    </row>
    <row r="38" customFormat="false" ht="19.5" hidden="false" customHeight="true" outlineLevel="0" collapsed="false">
      <c r="A38" s="27" t="s">
        <v>69</v>
      </c>
      <c r="B38" s="27"/>
      <c r="C38" s="27"/>
      <c r="D38" s="27"/>
      <c r="E38" s="27"/>
      <c r="F38" s="27"/>
      <c r="G38" s="27"/>
      <c r="H38" s="27"/>
      <c r="I38" s="27"/>
    </row>
    <row r="39" customFormat="false" ht="18" hidden="false" customHeight="true" outlineLevel="0" collapsed="false">
      <c r="A39" s="28" t="s">
        <v>70</v>
      </c>
      <c r="B39" s="29" t="s">
        <v>71</v>
      </c>
      <c r="C39" s="29" t="s">
        <v>72</v>
      </c>
      <c r="D39" s="31"/>
      <c r="E39" s="31"/>
      <c r="F39" s="31"/>
      <c r="G39" s="31"/>
      <c r="H39" s="31"/>
      <c r="I39" s="31"/>
    </row>
    <row r="40" customFormat="false" ht="18" hidden="false" customHeight="true" outlineLevel="0" collapsed="false">
      <c r="A40" s="32" t="s">
        <v>73</v>
      </c>
      <c r="B40" s="33" t="s">
        <v>74</v>
      </c>
      <c r="C40" s="33" t="s">
        <v>75</v>
      </c>
      <c r="D40" s="34"/>
      <c r="E40" s="34"/>
      <c r="F40" s="34"/>
      <c r="G40" s="34"/>
      <c r="H40" s="34"/>
      <c r="I40" s="34"/>
    </row>
    <row r="41" customFormat="false" ht="18" hidden="false" customHeight="true" outlineLevel="0" collapsed="false">
      <c r="A41" s="28" t="s">
        <v>76</v>
      </c>
      <c r="B41" s="29" t="s">
        <v>77</v>
      </c>
      <c r="C41" s="29" t="s">
        <v>78</v>
      </c>
      <c r="D41" s="31"/>
      <c r="E41" s="31"/>
      <c r="F41" s="31"/>
      <c r="G41" s="31"/>
      <c r="H41" s="31"/>
      <c r="I41" s="31"/>
    </row>
    <row r="42" customFormat="false" ht="18" hidden="false" customHeight="true" outlineLevel="0" collapsed="false">
      <c r="A42" s="32" t="s">
        <v>79</v>
      </c>
      <c r="B42" s="35" t="s">
        <v>37</v>
      </c>
      <c r="C42" s="33" t="s">
        <v>80</v>
      </c>
      <c r="D42" s="34"/>
      <c r="E42" s="34"/>
      <c r="F42" s="34"/>
      <c r="G42" s="34"/>
      <c r="H42" s="34"/>
      <c r="I42" s="34"/>
    </row>
    <row r="43" customFormat="false" ht="7.5" hidden="false" customHeight="true" outlineLevel="0" collapsed="false"/>
    <row r="44" customFormat="false" ht="27.75" hidden="false" customHeight="true" outlineLevel="0" collapsed="false">
      <c r="A44" s="40" t="s">
        <v>81</v>
      </c>
      <c r="B44" s="41" t="s">
        <v>82</v>
      </c>
      <c r="C44" s="42" t="s">
        <v>83</v>
      </c>
      <c r="D44" s="43"/>
      <c r="E44" s="43"/>
      <c r="F44" s="43"/>
      <c r="G44" s="43"/>
      <c r="H44" s="43"/>
      <c r="I44" s="43"/>
    </row>
    <row r="45" customFormat="false" ht="19.5" hidden="false" customHeight="true" outlineLevel="0" collapsed="false">
      <c r="A45" s="44" t="s">
        <v>84</v>
      </c>
      <c r="B45" s="44"/>
      <c r="C45" s="44"/>
      <c r="D45" s="44"/>
      <c r="E45" s="44"/>
      <c r="F45" s="44"/>
      <c r="G45" s="44"/>
      <c r="H45" s="44"/>
      <c r="I45" s="44"/>
    </row>
  </sheetData>
  <mergeCells count="12">
    <mergeCell ref="A2:I2"/>
    <mergeCell ref="A3:I3"/>
    <mergeCell ref="A9:I9"/>
    <mergeCell ref="A11:I11"/>
    <mergeCell ref="A14:I14"/>
    <mergeCell ref="A18:I18"/>
    <mergeCell ref="A23:I23"/>
    <mergeCell ref="A28:I28"/>
    <mergeCell ref="A32:I32"/>
    <mergeCell ref="A35:I35"/>
    <mergeCell ref="A38:I38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A3" s="45" t="s">
        <v>85</v>
      </c>
      <c r="B3" s="45"/>
      <c r="C3" s="45"/>
      <c r="D3" s="45"/>
      <c r="E3" s="45"/>
      <c r="F3" s="45"/>
      <c r="G3" s="45"/>
      <c r="H3" s="45"/>
      <c r="I3" s="45"/>
    </row>
    <row r="4" customFormat="false" ht="6" hidden="false" customHeight="true" outlineLevel="0" collapsed="false"/>
    <row r="5" customFormat="false" ht="60" hidden="false" customHeight="true" outlineLevel="0" collapsed="false">
      <c r="A5" s="46" t="s">
        <v>86</v>
      </c>
      <c r="B5" s="46"/>
      <c r="C5" s="46"/>
      <c r="D5" s="46"/>
      <c r="E5" s="46"/>
      <c r="F5" s="46"/>
      <c r="G5" s="46"/>
      <c r="H5" s="46"/>
      <c r="I5" s="46"/>
    </row>
    <row r="6" customFormat="false" ht="6" hidden="false" customHeight="true" outlineLevel="0" collapsed="false"/>
    <row r="7" customFormat="false" ht="19.5" hidden="false" customHeight="true" outlineLevel="0" collapsed="false">
      <c r="A7" s="45" t="s">
        <v>87</v>
      </c>
      <c r="B7" s="45"/>
      <c r="C7" s="45"/>
      <c r="D7" s="45"/>
      <c r="E7" s="45"/>
      <c r="F7" s="45"/>
      <c r="G7" s="45"/>
      <c r="H7" s="45"/>
      <c r="I7" s="45"/>
    </row>
    <row r="8" customFormat="false" ht="3.75" hidden="false" customHeight="true" outlineLevel="0" collapsed="false"/>
    <row r="9" customFormat="false" ht="27.75" hidden="false" customHeight="true" outlineLevel="0" collapsed="false">
      <c r="A9" s="25" t="s">
        <v>2</v>
      </c>
      <c r="B9" s="25" t="s">
        <v>88</v>
      </c>
      <c r="C9" s="25" t="s">
        <v>89</v>
      </c>
      <c r="D9" s="25" t="s">
        <v>9</v>
      </c>
      <c r="E9" s="25" t="s">
        <v>90</v>
      </c>
      <c r="F9" s="25" t="s">
        <v>91</v>
      </c>
      <c r="G9" s="25" t="s">
        <v>4</v>
      </c>
      <c r="H9" s="25" t="s">
        <v>92</v>
      </c>
      <c r="I9" s="25" t="s">
        <v>10</v>
      </c>
    </row>
    <row r="10" customFormat="false" ht="21.75" hidden="false" customHeight="true" outlineLevel="0" collapsed="false">
      <c r="A10" s="47" t="s">
        <v>11</v>
      </c>
      <c r="B10" s="5" t="n">
        <v>300</v>
      </c>
      <c r="C10" s="48" t="n">
        <v>75</v>
      </c>
      <c r="D10" s="23" t="n">
        <v>225</v>
      </c>
      <c r="E10" s="7" t="n">
        <v>9</v>
      </c>
      <c r="F10" s="23" t="n">
        <v>216</v>
      </c>
      <c r="G10" s="49" t="n">
        <v>300</v>
      </c>
      <c r="H10" s="50" t="n">
        <v>0.25</v>
      </c>
      <c r="I10" s="12" t="s">
        <v>93</v>
      </c>
    </row>
    <row r="11" customFormat="false" ht="21.75" hidden="false" customHeight="true" outlineLevel="0" collapsed="false">
      <c r="A11" s="51" t="s">
        <v>13</v>
      </c>
      <c r="B11" s="5" t="n">
        <v>810</v>
      </c>
      <c r="C11" s="52" t="n">
        <v>202</v>
      </c>
      <c r="D11" s="53" t="n">
        <v>608</v>
      </c>
      <c r="E11" s="54" t="n">
        <v>27</v>
      </c>
      <c r="F11" s="53" t="n">
        <v>580</v>
      </c>
      <c r="G11" s="55" t="n">
        <v>270</v>
      </c>
      <c r="H11" s="56" t="n">
        <v>0.25</v>
      </c>
      <c r="I11" s="57" t="s">
        <v>94</v>
      </c>
    </row>
    <row r="12" customFormat="false" ht="21.75" hidden="false" customHeight="true" outlineLevel="0" collapsed="false">
      <c r="A12" s="47" t="s">
        <v>15</v>
      </c>
      <c r="B12" s="5" t="n">
        <v>1499</v>
      </c>
      <c r="C12" s="48" t="n">
        <v>375</v>
      </c>
      <c r="D12" s="23" t="n">
        <v>1124</v>
      </c>
      <c r="E12" s="7" t="n">
        <v>54</v>
      </c>
      <c r="F12" s="11" t="n">
        <v>1070</v>
      </c>
      <c r="G12" s="49" t="n">
        <v>250</v>
      </c>
      <c r="H12" s="50" t="n">
        <v>0.25</v>
      </c>
      <c r="I12" s="12" t="s">
        <v>95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58" t="s">
        <v>96</v>
      </c>
      <c r="B14" s="58"/>
      <c r="C14" s="58"/>
      <c r="D14" s="58"/>
      <c r="E14" s="58"/>
      <c r="F14" s="58"/>
      <c r="G14" s="58"/>
      <c r="H14" s="58"/>
      <c r="I14" s="58"/>
    </row>
    <row r="15" customFormat="false" ht="3.75" hidden="false" customHeight="true" outlineLevel="0" collapsed="false"/>
    <row r="16" customFormat="false" ht="27.75" hidden="false" customHeight="true" outlineLevel="0" collapsed="false">
      <c r="A16" s="25" t="s">
        <v>2</v>
      </c>
      <c r="B16" s="25" t="s">
        <v>97</v>
      </c>
      <c r="C16" s="25" t="s">
        <v>98</v>
      </c>
      <c r="D16" s="25" t="s">
        <v>99</v>
      </c>
      <c r="E16" s="25" t="s">
        <v>100</v>
      </c>
      <c r="F16" s="25" t="s">
        <v>101</v>
      </c>
      <c r="G16" s="25"/>
      <c r="H16" s="25"/>
      <c r="I16" s="25"/>
    </row>
    <row r="17" customFormat="false" ht="21.75" hidden="false" customHeight="true" outlineLevel="0" collapsed="false">
      <c r="A17" s="47" t="s">
        <v>11</v>
      </c>
      <c r="B17" s="48" t="n">
        <v>75</v>
      </c>
      <c r="C17" s="59" t="s">
        <v>102</v>
      </c>
      <c r="D17" s="23" t="n">
        <v>225</v>
      </c>
      <c r="E17" s="60" t="s">
        <v>103</v>
      </c>
      <c r="F17" s="60" t="s">
        <v>104</v>
      </c>
      <c r="G17" s="61"/>
      <c r="H17" s="61"/>
      <c r="I17" s="61"/>
    </row>
    <row r="18" customFormat="false" ht="21.75" hidden="false" customHeight="true" outlineLevel="0" collapsed="false">
      <c r="A18" s="62" t="s">
        <v>13</v>
      </c>
      <c r="B18" s="63" t="n">
        <v>202</v>
      </c>
      <c r="C18" s="64" t="s">
        <v>105</v>
      </c>
      <c r="D18" s="65" t="n">
        <v>608</v>
      </c>
      <c r="E18" s="66" t="s">
        <v>106</v>
      </c>
      <c r="F18" s="66" t="s">
        <v>107</v>
      </c>
      <c r="G18" s="67"/>
      <c r="H18" s="67"/>
      <c r="I18" s="67"/>
    </row>
    <row r="19" customFormat="false" ht="21.75" hidden="false" customHeight="true" outlineLevel="0" collapsed="false">
      <c r="A19" s="47" t="s">
        <v>15</v>
      </c>
      <c r="B19" s="48" t="n">
        <v>375</v>
      </c>
      <c r="C19" s="59" t="s">
        <v>108</v>
      </c>
      <c r="D19" s="23" t="n">
        <v>1124</v>
      </c>
      <c r="E19" s="60" t="s">
        <v>109</v>
      </c>
      <c r="F19" s="60" t="s">
        <v>110</v>
      </c>
      <c r="G19" s="61"/>
      <c r="H19" s="61"/>
      <c r="I19" s="61"/>
    </row>
    <row r="20" customFormat="false" ht="7.5" hidden="false" customHeight="true" outlineLevel="0" collapsed="false"/>
    <row r="21" customFormat="false" ht="19.5" hidden="false" customHeight="true" outlineLevel="0" collapsed="false">
      <c r="A21" s="2" t="s">
        <v>111</v>
      </c>
      <c r="B21" s="2"/>
      <c r="C21" s="2"/>
      <c r="D21" s="2"/>
      <c r="E21" s="2"/>
      <c r="F21" s="2"/>
      <c r="G21" s="2"/>
      <c r="H21" s="2"/>
      <c r="I21" s="2"/>
    </row>
    <row r="22" customFormat="false" ht="3.75" hidden="false" customHeight="true" outlineLevel="0" collapsed="false"/>
    <row r="23" customFormat="false" ht="36" hidden="false" customHeight="true" outlineLevel="0" collapsed="false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116</v>
      </c>
      <c r="F23" s="3" t="s">
        <v>117</v>
      </c>
      <c r="G23" s="3" t="s">
        <v>118</v>
      </c>
      <c r="H23" s="3" t="s">
        <v>119</v>
      </c>
      <c r="I23" s="3" t="s">
        <v>120</v>
      </c>
    </row>
    <row r="24" customFormat="false" ht="31.5" hidden="false" customHeight="true" outlineLevel="0" collapsed="false">
      <c r="A24" s="68" t="s">
        <v>121</v>
      </c>
      <c r="B24" s="69" t="n">
        <v>2</v>
      </c>
      <c r="C24" s="70" t="s">
        <v>122</v>
      </c>
      <c r="D24" s="48" t="n">
        <v>150</v>
      </c>
      <c r="E24" s="71" t="n">
        <v>2</v>
      </c>
      <c r="F24" s="23" t="n">
        <v>150</v>
      </c>
      <c r="G24" s="23" t="n">
        <v>1800</v>
      </c>
      <c r="H24" s="72" t="n">
        <v>450</v>
      </c>
      <c r="I24" s="12" t="s">
        <v>123</v>
      </c>
    </row>
    <row r="25" customFormat="false" ht="31.5" hidden="false" customHeight="true" outlineLevel="0" collapsed="false">
      <c r="A25" s="73" t="s">
        <v>124</v>
      </c>
      <c r="B25" s="69" t="n">
        <v>4</v>
      </c>
      <c r="C25" s="74" t="s">
        <v>125</v>
      </c>
      <c r="D25" s="75" t="n">
        <v>428</v>
      </c>
      <c r="E25" s="76" t="n">
        <v>14</v>
      </c>
      <c r="F25" s="19" t="n">
        <v>428</v>
      </c>
      <c r="G25" s="19" t="n">
        <v>5130</v>
      </c>
      <c r="H25" s="77" t="n">
        <v>1282</v>
      </c>
      <c r="I25" s="20" t="s">
        <v>126</v>
      </c>
    </row>
    <row r="26" customFormat="false" ht="31.5" hidden="false" customHeight="true" outlineLevel="0" collapsed="false">
      <c r="A26" s="68" t="s">
        <v>127</v>
      </c>
      <c r="B26" s="69" t="n">
        <v>5</v>
      </c>
      <c r="C26" s="70" t="s">
        <v>128</v>
      </c>
      <c r="D26" s="48" t="n">
        <v>930</v>
      </c>
      <c r="E26" s="71" t="n">
        <v>30</v>
      </c>
      <c r="F26" s="23" t="n">
        <v>930</v>
      </c>
      <c r="G26" s="23" t="n">
        <v>11157</v>
      </c>
      <c r="H26" s="72" t="n">
        <v>2789</v>
      </c>
      <c r="I26" s="12" t="s">
        <v>129</v>
      </c>
    </row>
    <row r="27" customFormat="false" ht="31.5" hidden="false" customHeight="true" outlineLevel="0" collapsed="false">
      <c r="A27" s="73" t="s">
        <v>130</v>
      </c>
      <c r="B27" s="69" t="n">
        <v>6</v>
      </c>
      <c r="C27" s="74" t="s">
        <v>131</v>
      </c>
      <c r="D27" s="75" t="n">
        <v>1304</v>
      </c>
      <c r="E27" s="76" t="n">
        <v>48</v>
      </c>
      <c r="F27" s="19" t="n">
        <v>1304</v>
      </c>
      <c r="G27" s="19" t="n">
        <v>15654</v>
      </c>
      <c r="H27" s="77" t="n">
        <v>3914</v>
      </c>
      <c r="I27" s="20" t="s">
        <v>132</v>
      </c>
    </row>
    <row r="28" customFormat="false" ht="31.5" hidden="false" customHeight="true" outlineLevel="0" collapsed="false">
      <c r="A28" s="68" t="s">
        <v>133</v>
      </c>
      <c r="B28" s="69" t="n">
        <v>4</v>
      </c>
      <c r="C28" s="70" t="s">
        <v>134</v>
      </c>
      <c r="D28" s="48" t="n">
        <v>1027</v>
      </c>
      <c r="E28" s="71" t="n">
        <v>65</v>
      </c>
      <c r="F28" s="11" t="n">
        <v>1027</v>
      </c>
      <c r="G28" s="23" t="n">
        <v>12324</v>
      </c>
      <c r="H28" s="72" t="n">
        <v>3081</v>
      </c>
      <c r="I28" s="12" t="s">
        <v>135</v>
      </c>
    </row>
    <row r="29" customFormat="false" ht="6" hidden="false" customHeight="true" outlineLevel="0" collapsed="false"/>
    <row r="30" customFormat="false" ht="36" hidden="false" customHeight="true" outlineLevel="0" collapsed="false">
      <c r="A30" s="78" t="s">
        <v>136</v>
      </c>
      <c r="B30" s="78"/>
      <c r="C30" s="78"/>
      <c r="D30" s="78"/>
      <c r="E30" s="78"/>
      <c r="F30" s="78"/>
      <c r="G30" s="78"/>
      <c r="H30" s="78"/>
      <c r="I30" s="78"/>
    </row>
  </sheetData>
  <mergeCells count="7">
    <mergeCell ref="A2:I2"/>
    <mergeCell ref="A3:I3"/>
    <mergeCell ref="A5:I5"/>
    <mergeCell ref="A7:I7"/>
    <mergeCell ref="A14:I14"/>
    <mergeCell ref="A21:I21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7"/>
    <col collapsed="false" customWidth="true" hidden="false" outlineLevel="0" max="6" min="6" style="0" width="14"/>
    <col collapsed="false" customWidth="true" hidden="false" outlineLevel="0" max="9" min="7" style="0" width="16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A3" s="58" t="s">
        <v>137</v>
      </c>
      <c r="B3" s="58"/>
      <c r="C3" s="58"/>
      <c r="D3" s="58"/>
      <c r="E3" s="58"/>
      <c r="F3" s="58"/>
      <c r="G3" s="58"/>
      <c r="H3" s="58"/>
      <c r="I3" s="58"/>
    </row>
    <row r="4" customFormat="false" ht="6" hidden="false" customHeight="true" outlineLevel="0" collapsed="false"/>
    <row r="5" customFormat="false" ht="18" hidden="false" customHeight="true" outlineLevel="0" collapsed="false">
      <c r="A5" s="79" t="s">
        <v>138</v>
      </c>
      <c r="B5" s="79"/>
      <c r="C5" s="79"/>
      <c r="D5" s="79"/>
      <c r="E5" s="79"/>
      <c r="F5" s="79"/>
      <c r="G5" s="79"/>
      <c r="H5" s="79"/>
      <c r="I5" s="79"/>
    </row>
    <row r="6" customFormat="false" ht="19.5" hidden="false" customHeight="true" outlineLevel="0" collapsed="false">
      <c r="A6" s="80" t="s">
        <v>139</v>
      </c>
      <c r="B6" s="5" t="n">
        <v>300</v>
      </c>
      <c r="C6" s="81" t="s">
        <v>140</v>
      </c>
      <c r="D6" s="81"/>
      <c r="E6" s="81"/>
      <c r="F6" s="81"/>
      <c r="G6" s="81"/>
      <c r="H6" s="81"/>
      <c r="I6" s="81"/>
    </row>
    <row r="7" customFormat="false" ht="19.5" hidden="false" customHeight="true" outlineLevel="0" collapsed="false">
      <c r="A7" s="80" t="s">
        <v>141</v>
      </c>
      <c r="B7" s="82" t="n">
        <v>0.1</v>
      </c>
      <c r="C7" s="81" t="s">
        <v>142</v>
      </c>
      <c r="D7" s="81"/>
      <c r="E7" s="81"/>
      <c r="F7" s="81"/>
      <c r="G7" s="81"/>
      <c r="H7" s="81"/>
      <c r="I7" s="81"/>
    </row>
    <row r="8" customFormat="false" ht="19.5" hidden="false" customHeight="true" outlineLevel="0" collapsed="false">
      <c r="A8" s="80" t="s">
        <v>143</v>
      </c>
      <c r="B8" s="82" t="n">
        <v>0.167</v>
      </c>
      <c r="C8" s="81" t="s">
        <v>144</v>
      </c>
      <c r="D8" s="81"/>
      <c r="E8" s="81"/>
      <c r="F8" s="81"/>
      <c r="G8" s="81"/>
      <c r="H8" s="81"/>
      <c r="I8" s="81"/>
    </row>
    <row r="9" customFormat="false" ht="19.5" hidden="false" customHeight="true" outlineLevel="0" collapsed="false">
      <c r="A9" s="80" t="s">
        <v>145</v>
      </c>
      <c r="B9" s="82" t="n">
        <v>0.25</v>
      </c>
      <c r="C9" s="81" t="s">
        <v>146</v>
      </c>
      <c r="D9" s="81"/>
      <c r="E9" s="81"/>
      <c r="F9" s="81"/>
      <c r="G9" s="81"/>
      <c r="H9" s="81"/>
      <c r="I9" s="81"/>
    </row>
    <row r="10" customFormat="false" ht="19.5" hidden="false" customHeight="true" outlineLevel="0" collapsed="false">
      <c r="A10" s="80" t="s">
        <v>147</v>
      </c>
      <c r="B10" s="5" t="n">
        <v>345</v>
      </c>
      <c r="C10" s="81" t="s">
        <v>148</v>
      </c>
      <c r="D10" s="81"/>
      <c r="E10" s="81"/>
      <c r="F10" s="81"/>
      <c r="G10" s="81"/>
      <c r="H10" s="81"/>
      <c r="I10" s="81"/>
    </row>
    <row r="11" customFormat="false" ht="19.5" hidden="false" customHeight="true" outlineLevel="0" collapsed="false">
      <c r="A11" s="80" t="s">
        <v>149</v>
      </c>
      <c r="B11" s="5" t="n">
        <v>9</v>
      </c>
      <c r="C11" s="81" t="s">
        <v>150</v>
      </c>
      <c r="D11" s="81"/>
      <c r="E11" s="81"/>
      <c r="F11" s="81"/>
      <c r="G11" s="81"/>
      <c r="H11" s="81"/>
      <c r="I11" s="81"/>
    </row>
    <row r="12" customFormat="false" ht="7.5" hidden="false" customHeight="true" outlineLevel="0" collapsed="false"/>
    <row r="13" customFormat="false" ht="19.5" hidden="false" customHeight="true" outlineLevel="0" collapsed="false">
      <c r="A13" s="2" t="s">
        <v>151</v>
      </c>
      <c r="B13" s="2"/>
      <c r="C13" s="2"/>
      <c r="D13" s="2"/>
      <c r="E13" s="2"/>
      <c r="F13" s="2"/>
      <c r="G13" s="2"/>
      <c r="H13" s="2"/>
      <c r="I13" s="2"/>
    </row>
    <row r="14" customFormat="false" ht="3.75" hidden="false" customHeight="true" outlineLevel="0" collapsed="false"/>
    <row r="15" customFormat="false" ht="27.75" hidden="false" customHeight="true" outlineLevel="0" collapsed="false">
      <c r="A15" s="3" t="s">
        <v>2</v>
      </c>
      <c r="B15" s="3" t="s">
        <v>3</v>
      </c>
      <c r="C15" s="3" t="s">
        <v>152</v>
      </c>
      <c r="D15" s="3" t="s">
        <v>153</v>
      </c>
      <c r="E15" s="3" t="s">
        <v>154</v>
      </c>
      <c r="F15" s="3" t="s">
        <v>155</v>
      </c>
      <c r="G15" s="3" t="s">
        <v>156</v>
      </c>
      <c r="H15" s="3" t="s">
        <v>157</v>
      </c>
      <c r="I15" s="3" t="s">
        <v>158</v>
      </c>
    </row>
    <row r="16" customFormat="false" ht="21.75" hidden="false" customHeight="true" outlineLevel="0" collapsed="false">
      <c r="A16" s="59" t="s">
        <v>11</v>
      </c>
      <c r="B16" s="83" t="n">
        <f aca="false">B6</f>
        <v>300</v>
      </c>
      <c r="C16" s="48" t="n">
        <f aca="false">B6*B9</f>
        <v>75</v>
      </c>
      <c r="D16" s="23" t="n">
        <f aca="false">B6*(1-B9)</f>
        <v>225</v>
      </c>
      <c r="E16" s="84" t="n">
        <f aca="false">B10</f>
        <v>345</v>
      </c>
      <c r="F16" s="85" t="n">
        <f aca="false">ROUNDUP(B10/(B6*(1-B9)-B11),0)</f>
        <v>2</v>
      </c>
      <c r="G16" s="86" t="n">
        <f aca="false">B6*ROUNDUP(B10/(B6*(1-B9)-B11),0)</f>
        <v>600</v>
      </c>
      <c r="H16" s="23" t="n">
        <f aca="false">B6-B11</f>
        <v>291</v>
      </c>
      <c r="I16" s="87" t="n">
        <f aca="false">(B6-B11)/B6</f>
        <v>0.97</v>
      </c>
    </row>
    <row r="17" customFormat="false" ht="21.75" hidden="false" customHeight="true" outlineLevel="0" collapsed="false">
      <c r="A17" s="64" t="s">
        <v>13</v>
      </c>
      <c r="B17" s="88" t="n">
        <f aca="false">B6*3*(1-B7)</f>
        <v>810</v>
      </c>
      <c r="C17" s="63" t="n">
        <f aca="false">B6*3*(1-B7)*B9</f>
        <v>202.5</v>
      </c>
      <c r="D17" s="65" t="n">
        <f aca="false">B6*3*(1-B7)*(1-B9)</f>
        <v>607.5</v>
      </c>
      <c r="E17" s="89" t="n">
        <f aca="false">B10*3</f>
        <v>1035</v>
      </c>
      <c r="F17" s="90" t="n">
        <f aca="false">ROUNDUP(B10*3/(B6*3*(1-B7)*(1-B9)-B11*3),0)</f>
        <v>2</v>
      </c>
      <c r="G17" s="91" t="n">
        <f aca="false">B6*3*(1-B7)*ROUNDUP(B10*3/(B6*3*(1-B7)*(1-B9)-B11*3),0)</f>
        <v>1620</v>
      </c>
      <c r="H17" s="65" t="n">
        <f aca="false">B6*(1-B7)-B11</f>
        <v>261</v>
      </c>
      <c r="I17" s="92" t="n">
        <f aca="false">(B6*(1-B7)-B11)/(B6*(1-B7))</f>
        <v>0.966666666666667</v>
      </c>
    </row>
    <row r="18" customFormat="false" ht="21.75" hidden="false" customHeight="true" outlineLevel="0" collapsed="false">
      <c r="A18" s="59" t="s">
        <v>15</v>
      </c>
      <c r="B18" s="83" t="n">
        <f aca="false">B6*6*(1-B8)</f>
        <v>1499.4</v>
      </c>
      <c r="C18" s="48" t="n">
        <f aca="false">B6*6*(1-B8)*B9</f>
        <v>374.85</v>
      </c>
      <c r="D18" s="23" t="n">
        <f aca="false">B6*6*(1-B8)*(1-B9)</f>
        <v>1124.55</v>
      </c>
      <c r="E18" s="84" t="n">
        <f aca="false">B10*6</f>
        <v>2070</v>
      </c>
      <c r="F18" s="85" t="n">
        <f aca="false">ROUNDUP(B10*6/(B6*6*(1-B8)*(1-B9)-B11*6),0)</f>
        <v>2</v>
      </c>
      <c r="G18" s="86" t="n">
        <f aca="false">B6*6*(1-B8)*ROUNDUP(B10*6/(B6*6*(1-B8)*(1-B9)-B11*6),0)</f>
        <v>2998.8</v>
      </c>
      <c r="H18" s="23" t="n">
        <f aca="false">B6*(1-B8)-B11</f>
        <v>240.9</v>
      </c>
      <c r="I18" s="87" t="n">
        <f aca="false">(B6*(1-B8)-B11)/(B6*(1-B8))</f>
        <v>0.963985594237695</v>
      </c>
    </row>
    <row r="19" customFormat="false" ht="3.75" hidden="false" customHeight="true" outlineLevel="0" collapsed="false"/>
    <row r="20" customFormat="false" ht="27.75" hidden="false" customHeight="true" outlineLevel="0" collapsed="false">
      <c r="A20" s="78" t="s">
        <v>159</v>
      </c>
      <c r="B20" s="78"/>
      <c r="C20" s="78"/>
      <c r="D20" s="78"/>
      <c r="E20" s="78"/>
      <c r="F20" s="78"/>
      <c r="G20" s="78"/>
      <c r="H20" s="78"/>
      <c r="I20" s="78"/>
    </row>
    <row r="21" customFormat="false" ht="7.5" hidden="false" customHeight="true" outlineLevel="0" collapsed="false"/>
    <row r="22" customFormat="false" ht="19.5" hidden="false" customHeight="true" outlineLevel="0" collapsed="false">
      <c r="A22" s="2" t="s">
        <v>160</v>
      </c>
      <c r="B22" s="2"/>
      <c r="C22" s="2"/>
      <c r="D22" s="2"/>
      <c r="E22" s="2"/>
      <c r="F22" s="2"/>
      <c r="G22" s="2"/>
      <c r="H22" s="2"/>
      <c r="I22" s="2"/>
    </row>
    <row r="23" customFormat="false" ht="3.75" hidden="false" customHeight="true" outlineLevel="0" collapsed="false"/>
    <row r="24" customFormat="false" ht="27.75" hidden="false" customHeight="true" outlineLevel="0" collapsed="false">
      <c r="A24" s="3" t="s">
        <v>161</v>
      </c>
      <c r="B24" s="3" t="s">
        <v>162</v>
      </c>
      <c r="C24" s="3" t="s">
        <v>163</v>
      </c>
      <c r="D24" s="3" t="s">
        <v>164</v>
      </c>
      <c r="E24" s="3" t="s">
        <v>165</v>
      </c>
      <c r="F24" s="3" t="s">
        <v>166</v>
      </c>
      <c r="G24" s="3" t="s">
        <v>167</v>
      </c>
      <c r="H24" s="3" t="s">
        <v>168</v>
      </c>
      <c r="I24" s="3" t="s">
        <v>169</v>
      </c>
    </row>
    <row r="25" customFormat="false" ht="21.75" hidden="false" customHeight="true" outlineLevel="0" collapsed="false">
      <c r="A25" s="93" t="s">
        <v>170</v>
      </c>
      <c r="B25" s="69" t="n">
        <v>3</v>
      </c>
      <c r="C25" s="69" t="n">
        <v>1</v>
      </c>
      <c r="D25" s="69" t="n">
        <v>1</v>
      </c>
      <c r="E25" s="94" t="n">
        <v>5</v>
      </c>
      <c r="F25" s="95" t="n">
        <v>1420</v>
      </c>
      <c r="G25" s="10" t="n">
        <v>355</v>
      </c>
      <c r="H25" s="84" t="n">
        <v>390</v>
      </c>
      <c r="I25" s="11" t="n">
        <v>675</v>
      </c>
    </row>
    <row r="26" customFormat="false" ht="21.75" hidden="false" customHeight="true" outlineLevel="0" collapsed="false">
      <c r="A26" s="96" t="s">
        <v>171</v>
      </c>
      <c r="B26" s="69" t="n">
        <v>9</v>
      </c>
      <c r="C26" s="69" t="n">
        <v>4</v>
      </c>
      <c r="D26" s="69" t="n">
        <v>2</v>
      </c>
      <c r="E26" s="97" t="n">
        <v>15</v>
      </c>
      <c r="F26" s="98" t="n">
        <v>4280</v>
      </c>
      <c r="G26" s="18" t="n">
        <v>1070</v>
      </c>
      <c r="H26" s="99" t="n">
        <v>480</v>
      </c>
      <c r="I26" s="11" t="n">
        <v>2730</v>
      </c>
    </row>
    <row r="27" customFormat="false" ht="21.75" hidden="false" customHeight="true" outlineLevel="0" collapsed="false">
      <c r="A27" s="93" t="s">
        <v>172</v>
      </c>
      <c r="B27" s="69" t="n">
        <v>18</v>
      </c>
      <c r="C27" s="69" t="n">
        <v>8</v>
      </c>
      <c r="D27" s="69" t="n">
        <v>4</v>
      </c>
      <c r="E27" s="94" t="n">
        <v>30</v>
      </c>
      <c r="F27" s="95" t="n">
        <v>8559</v>
      </c>
      <c r="G27" s="10" t="n">
        <v>2140</v>
      </c>
      <c r="H27" s="84" t="n">
        <v>615</v>
      </c>
      <c r="I27" s="11" t="n">
        <v>5804</v>
      </c>
    </row>
    <row r="28" customFormat="false" ht="21.75" hidden="false" customHeight="true" outlineLevel="0" collapsed="false">
      <c r="A28" s="96" t="s">
        <v>173</v>
      </c>
      <c r="B28" s="69" t="n">
        <v>36</v>
      </c>
      <c r="C28" s="69" t="n">
        <v>15</v>
      </c>
      <c r="D28" s="69" t="n">
        <v>9</v>
      </c>
      <c r="E28" s="97" t="n">
        <v>60</v>
      </c>
      <c r="F28" s="98" t="n">
        <v>17098</v>
      </c>
      <c r="G28" s="18" t="n">
        <v>4275</v>
      </c>
      <c r="H28" s="99" t="n">
        <v>885</v>
      </c>
      <c r="I28" s="11" t="n">
        <v>11939</v>
      </c>
    </row>
    <row r="29" customFormat="false" ht="21.75" hidden="false" customHeight="true" outlineLevel="0" collapsed="false">
      <c r="A29" s="93" t="s">
        <v>174</v>
      </c>
      <c r="B29" s="69" t="n">
        <v>60</v>
      </c>
      <c r="C29" s="69" t="n">
        <v>25</v>
      </c>
      <c r="D29" s="69" t="n">
        <v>15</v>
      </c>
      <c r="E29" s="94" t="n">
        <v>100</v>
      </c>
      <c r="F29" s="95" t="n">
        <v>28498</v>
      </c>
      <c r="G29" s="10" t="n">
        <v>7124</v>
      </c>
      <c r="H29" s="84" t="n">
        <v>1245</v>
      </c>
      <c r="I29" s="11" t="n">
        <v>20128</v>
      </c>
    </row>
    <row r="30" customFormat="false" ht="7.5" hidden="false" customHeight="true" outlineLevel="0" collapsed="false"/>
    <row r="31" customFormat="false" ht="19.5" hidden="false" customHeight="true" outlineLevel="0" collapsed="false">
      <c r="A31" s="2" t="s">
        <v>175</v>
      </c>
      <c r="B31" s="2"/>
      <c r="C31" s="2"/>
      <c r="D31" s="2"/>
      <c r="E31" s="2"/>
      <c r="F31" s="2"/>
      <c r="G31" s="2"/>
      <c r="H31" s="2"/>
      <c r="I31" s="2"/>
    </row>
    <row r="32" customFormat="false" ht="3.75" hidden="false" customHeight="true" outlineLevel="0" collapsed="false"/>
    <row r="33" customFormat="false" ht="27.75" hidden="false" customHeight="true" outlineLevel="0" collapsed="false">
      <c r="A33" s="3" t="s">
        <v>176</v>
      </c>
      <c r="B33" s="3" t="s">
        <v>177</v>
      </c>
      <c r="C33" s="3" t="s">
        <v>178</v>
      </c>
      <c r="D33" s="3" t="s">
        <v>179</v>
      </c>
      <c r="E33" s="3" t="s">
        <v>166</v>
      </c>
      <c r="F33" s="3" t="s">
        <v>180</v>
      </c>
      <c r="G33" s="3" t="s">
        <v>168</v>
      </c>
      <c r="H33" s="3" t="s">
        <v>169</v>
      </c>
      <c r="I33" s="3" t="s">
        <v>181</v>
      </c>
    </row>
    <row r="34" customFormat="false" ht="19.5" hidden="false" customHeight="true" outlineLevel="0" collapsed="false">
      <c r="A34" s="100" t="s">
        <v>182</v>
      </c>
      <c r="B34" s="69" t="n">
        <v>8</v>
      </c>
      <c r="C34" s="101" t="n">
        <v>0</v>
      </c>
      <c r="D34" s="102" t="n">
        <v>8</v>
      </c>
      <c r="E34" s="103" t="n">
        <v>2280</v>
      </c>
      <c r="F34" s="104" t="n">
        <v>600</v>
      </c>
      <c r="G34" s="89" t="n">
        <v>417</v>
      </c>
      <c r="H34" s="65" t="n">
        <v>1263</v>
      </c>
      <c r="I34" s="64" t="s">
        <v>183</v>
      </c>
    </row>
    <row r="35" customFormat="false" ht="19.5" hidden="false" customHeight="true" outlineLevel="0" collapsed="false">
      <c r="A35" s="100" t="s">
        <v>184</v>
      </c>
      <c r="B35" s="69" t="n">
        <v>8</v>
      </c>
      <c r="C35" s="101" t="n">
        <v>0</v>
      </c>
      <c r="D35" s="102" t="n">
        <v>16</v>
      </c>
      <c r="E35" s="103" t="n">
        <v>4560</v>
      </c>
      <c r="F35" s="104" t="n">
        <v>600</v>
      </c>
      <c r="G35" s="89" t="n">
        <v>489</v>
      </c>
      <c r="H35" s="65" t="n">
        <v>3471</v>
      </c>
      <c r="I35" s="64" t="s">
        <v>183</v>
      </c>
    </row>
    <row r="36" customFormat="false" ht="19.5" hidden="false" customHeight="true" outlineLevel="0" collapsed="false">
      <c r="A36" s="100" t="s">
        <v>185</v>
      </c>
      <c r="B36" s="69" t="n">
        <v>8</v>
      </c>
      <c r="C36" s="105" t="n">
        <v>1</v>
      </c>
      <c r="D36" s="102" t="n">
        <v>23</v>
      </c>
      <c r="E36" s="103" t="n">
        <v>6554</v>
      </c>
      <c r="F36" s="104" t="n">
        <v>600</v>
      </c>
      <c r="G36" s="89" t="n">
        <v>552</v>
      </c>
      <c r="H36" s="65" t="n">
        <v>5402</v>
      </c>
      <c r="I36" s="64" t="s">
        <v>183</v>
      </c>
    </row>
    <row r="37" customFormat="false" ht="19.5" hidden="false" customHeight="true" outlineLevel="0" collapsed="false">
      <c r="A37" s="100" t="s">
        <v>186</v>
      </c>
      <c r="B37" s="69" t="n">
        <v>8</v>
      </c>
      <c r="C37" s="105" t="n">
        <v>1</v>
      </c>
      <c r="D37" s="102" t="n">
        <v>30</v>
      </c>
      <c r="E37" s="103" t="n">
        <v>8549</v>
      </c>
      <c r="F37" s="104" t="n">
        <v>600</v>
      </c>
      <c r="G37" s="89" t="n">
        <v>615</v>
      </c>
      <c r="H37" s="65" t="n">
        <v>7334</v>
      </c>
      <c r="I37" s="64" t="s">
        <v>183</v>
      </c>
    </row>
    <row r="38" customFormat="false" ht="19.5" hidden="false" customHeight="true" outlineLevel="0" collapsed="false">
      <c r="A38" s="100" t="s">
        <v>187</v>
      </c>
      <c r="B38" s="69" t="n">
        <v>8</v>
      </c>
      <c r="C38" s="105" t="n">
        <v>2</v>
      </c>
      <c r="D38" s="102" t="n">
        <v>36</v>
      </c>
      <c r="E38" s="103" t="n">
        <v>10259</v>
      </c>
      <c r="F38" s="104" t="n">
        <v>600</v>
      </c>
      <c r="G38" s="89" t="n">
        <v>669</v>
      </c>
      <c r="H38" s="65" t="n">
        <v>8990</v>
      </c>
      <c r="I38" s="64" t="s">
        <v>183</v>
      </c>
    </row>
    <row r="39" customFormat="false" ht="19.5" hidden="false" customHeight="true" outlineLevel="0" collapsed="false">
      <c r="A39" s="100" t="s">
        <v>188</v>
      </c>
      <c r="B39" s="69" t="n">
        <v>8</v>
      </c>
      <c r="C39" s="105" t="n">
        <v>2</v>
      </c>
      <c r="D39" s="102" t="n">
        <v>42</v>
      </c>
      <c r="E39" s="103" t="n">
        <v>11969</v>
      </c>
      <c r="F39" s="104" t="n">
        <v>600</v>
      </c>
      <c r="G39" s="89" t="n">
        <v>723</v>
      </c>
      <c r="H39" s="65" t="n">
        <v>10646</v>
      </c>
      <c r="I39" s="64" t="s">
        <v>183</v>
      </c>
    </row>
    <row r="40" customFormat="false" ht="19.5" hidden="false" customHeight="true" outlineLevel="0" collapsed="false">
      <c r="A40" s="100" t="s">
        <v>189</v>
      </c>
      <c r="B40" s="69" t="n">
        <v>8</v>
      </c>
      <c r="C40" s="105" t="n">
        <v>2</v>
      </c>
      <c r="D40" s="102" t="n">
        <v>48</v>
      </c>
      <c r="E40" s="103" t="n">
        <v>13679</v>
      </c>
      <c r="F40" s="104" t="n">
        <v>600</v>
      </c>
      <c r="G40" s="89" t="n">
        <v>777</v>
      </c>
      <c r="H40" s="65" t="n">
        <v>12302</v>
      </c>
      <c r="I40" s="64" t="s">
        <v>183</v>
      </c>
    </row>
    <row r="41" customFormat="false" ht="19.5" hidden="false" customHeight="true" outlineLevel="0" collapsed="false">
      <c r="A41" s="100" t="s">
        <v>190</v>
      </c>
      <c r="B41" s="69" t="n">
        <v>8</v>
      </c>
      <c r="C41" s="105" t="n">
        <v>2</v>
      </c>
      <c r="D41" s="102" t="n">
        <v>54</v>
      </c>
      <c r="E41" s="103" t="n">
        <v>15389</v>
      </c>
      <c r="F41" s="104" t="n">
        <v>600</v>
      </c>
      <c r="G41" s="89" t="n">
        <v>831</v>
      </c>
      <c r="H41" s="65" t="n">
        <v>13958</v>
      </c>
      <c r="I41" s="64" t="s">
        <v>183</v>
      </c>
    </row>
    <row r="42" customFormat="false" ht="19.5" hidden="false" customHeight="true" outlineLevel="0" collapsed="false">
      <c r="A42" s="100" t="s">
        <v>191</v>
      </c>
      <c r="B42" s="69" t="n">
        <v>8</v>
      </c>
      <c r="C42" s="105" t="n">
        <v>3</v>
      </c>
      <c r="D42" s="102" t="n">
        <v>59</v>
      </c>
      <c r="E42" s="103" t="n">
        <v>16814</v>
      </c>
      <c r="F42" s="104" t="n">
        <v>600</v>
      </c>
      <c r="G42" s="89" t="n">
        <v>876</v>
      </c>
      <c r="H42" s="65" t="n">
        <v>15338</v>
      </c>
      <c r="I42" s="64" t="s">
        <v>183</v>
      </c>
    </row>
    <row r="43" customFormat="false" ht="19.5" hidden="false" customHeight="true" outlineLevel="0" collapsed="false">
      <c r="A43" s="100" t="s">
        <v>192</v>
      </c>
      <c r="B43" s="69" t="n">
        <v>8</v>
      </c>
      <c r="C43" s="105" t="n">
        <v>3</v>
      </c>
      <c r="D43" s="102" t="n">
        <v>64</v>
      </c>
      <c r="E43" s="103" t="n">
        <v>18238</v>
      </c>
      <c r="F43" s="104" t="n">
        <v>600</v>
      </c>
      <c r="G43" s="89" t="n">
        <v>921</v>
      </c>
      <c r="H43" s="65" t="n">
        <v>16717</v>
      </c>
      <c r="I43" s="64" t="s">
        <v>183</v>
      </c>
    </row>
    <row r="44" customFormat="false" ht="19.5" hidden="false" customHeight="true" outlineLevel="0" collapsed="false">
      <c r="A44" s="100" t="s">
        <v>193</v>
      </c>
      <c r="B44" s="69" t="n">
        <v>8</v>
      </c>
      <c r="C44" s="105" t="n">
        <v>3</v>
      </c>
      <c r="D44" s="102" t="n">
        <v>69</v>
      </c>
      <c r="E44" s="103" t="n">
        <v>19663</v>
      </c>
      <c r="F44" s="104" t="n">
        <v>600</v>
      </c>
      <c r="G44" s="89" t="n">
        <v>966</v>
      </c>
      <c r="H44" s="65" t="n">
        <v>18097</v>
      </c>
      <c r="I44" s="64" t="s">
        <v>183</v>
      </c>
    </row>
    <row r="45" customFormat="false" ht="19.5" hidden="false" customHeight="true" outlineLevel="0" collapsed="false">
      <c r="A45" s="100" t="s">
        <v>194</v>
      </c>
      <c r="B45" s="69" t="n">
        <v>8</v>
      </c>
      <c r="C45" s="105" t="n">
        <v>3</v>
      </c>
      <c r="D45" s="102" t="n">
        <v>74</v>
      </c>
      <c r="E45" s="103" t="n">
        <v>21088</v>
      </c>
      <c r="F45" s="104" t="n">
        <v>600</v>
      </c>
      <c r="G45" s="89" t="n">
        <v>1011</v>
      </c>
      <c r="H45" s="65" t="n">
        <v>19477</v>
      </c>
      <c r="I45" s="64" t="s">
        <v>183</v>
      </c>
    </row>
    <row r="46" customFormat="false" ht="21.75" hidden="false" customHeight="true" outlineLevel="0" collapsed="false">
      <c r="A46" s="40" t="s">
        <v>195</v>
      </c>
      <c r="B46" s="106" t="n">
        <v>96</v>
      </c>
      <c r="C46" s="107"/>
      <c r="D46" s="108" t="n">
        <v>74</v>
      </c>
      <c r="E46" s="109" t="n">
        <v>149042</v>
      </c>
      <c r="F46" s="110" t="n">
        <v>7200</v>
      </c>
      <c r="G46" s="110" t="n">
        <v>8847</v>
      </c>
      <c r="H46" s="109" t="n">
        <v>132995</v>
      </c>
      <c r="I46" s="111" t="s">
        <v>196</v>
      </c>
    </row>
    <row r="47" customFormat="false" ht="3.75" hidden="false" customHeight="true" outlineLevel="0" collapsed="false"/>
    <row r="48" customFormat="false" ht="31.5" hidden="false" customHeight="true" outlineLevel="0" collapsed="false">
      <c r="A48" s="78" t="s">
        <v>197</v>
      </c>
      <c r="B48" s="78"/>
      <c r="C48" s="78"/>
      <c r="D48" s="78"/>
      <c r="E48" s="78"/>
      <c r="F48" s="78"/>
      <c r="G48" s="78"/>
      <c r="H48" s="78"/>
      <c r="I48" s="78"/>
    </row>
  </sheetData>
  <mergeCells count="14">
    <mergeCell ref="A2:I2"/>
    <mergeCell ref="A3:I3"/>
    <mergeCell ref="A5:I5"/>
    <mergeCell ref="C6:I6"/>
    <mergeCell ref="C7:I7"/>
    <mergeCell ref="C8:I8"/>
    <mergeCell ref="C9:I9"/>
    <mergeCell ref="C10:I10"/>
    <mergeCell ref="C11:I11"/>
    <mergeCell ref="A13:I13"/>
    <mergeCell ref="A20:I20"/>
    <mergeCell ref="A22:I22"/>
    <mergeCell ref="A31:I31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1B1B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112" t="s">
        <v>198</v>
      </c>
      <c r="B3" s="112"/>
      <c r="C3" s="112"/>
      <c r="D3" s="112"/>
      <c r="E3" s="112"/>
      <c r="F3" s="112"/>
      <c r="G3" s="112"/>
      <c r="H3" s="112"/>
    </row>
    <row r="4" customFormat="false" ht="6" hidden="false" customHeight="true" outlineLevel="0" collapsed="false"/>
    <row r="5" customFormat="false" ht="18" hidden="false" customHeight="true" outlineLevel="0" collapsed="false">
      <c r="A5" s="2" t="s">
        <v>199</v>
      </c>
      <c r="B5" s="2"/>
      <c r="C5" s="2"/>
      <c r="D5" s="2"/>
      <c r="E5" s="2"/>
      <c r="F5" s="2"/>
      <c r="G5" s="2"/>
      <c r="H5" s="2"/>
    </row>
    <row r="6" customFormat="false" ht="3.75" hidden="false" customHeight="true" outlineLevel="0" collapsed="false"/>
    <row r="7" customFormat="false" ht="24" hidden="false" customHeight="true" outlineLevel="0" collapsed="false">
      <c r="A7" s="3" t="s">
        <v>200</v>
      </c>
      <c r="B7" s="3" t="s">
        <v>201</v>
      </c>
      <c r="C7" s="3" t="s">
        <v>202</v>
      </c>
      <c r="D7" s="3" t="s">
        <v>203</v>
      </c>
      <c r="E7" s="3" t="s">
        <v>204</v>
      </c>
      <c r="F7" s="3" t="s">
        <v>205</v>
      </c>
      <c r="G7" s="3" t="s">
        <v>206</v>
      </c>
      <c r="H7" s="3" t="s">
        <v>207</v>
      </c>
    </row>
    <row r="8" customFormat="false" ht="19.5" hidden="false" customHeight="true" outlineLevel="0" collapsed="false">
      <c r="A8" s="60" t="s">
        <v>208</v>
      </c>
      <c r="B8" s="113" t="s">
        <v>209</v>
      </c>
      <c r="C8" s="114" t="s">
        <v>52</v>
      </c>
      <c r="D8" s="115" t="s">
        <v>37</v>
      </c>
      <c r="E8" s="113" t="s">
        <v>210</v>
      </c>
      <c r="F8" s="113" t="s">
        <v>37</v>
      </c>
      <c r="G8" s="113" t="s">
        <v>211</v>
      </c>
      <c r="H8" s="116" t="s">
        <v>212</v>
      </c>
    </row>
    <row r="9" customFormat="false" ht="19.5" hidden="false" customHeight="true" outlineLevel="0" collapsed="false">
      <c r="A9" s="117" t="s">
        <v>213</v>
      </c>
      <c r="B9" s="118" t="s">
        <v>214</v>
      </c>
      <c r="C9" s="119" t="s">
        <v>52</v>
      </c>
      <c r="D9" s="120" t="s">
        <v>37</v>
      </c>
      <c r="E9" s="118" t="s">
        <v>210</v>
      </c>
      <c r="F9" s="118" t="s">
        <v>37</v>
      </c>
      <c r="G9" s="118" t="s">
        <v>211</v>
      </c>
      <c r="H9" s="116" t="s">
        <v>212</v>
      </c>
    </row>
    <row r="10" customFormat="false" ht="19.5" hidden="false" customHeight="true" outlineLevel="0" collapsed="false">
      <c r="A10" s="60" t="s">
        <v>215</v>
      </c>
      <c r="B10" s="113" t="s">
        <v>216</v>
      </c>
      <c r="C10" s="114" t="s">
        <v>52</v>
      </c>
      <c r="D10" s="115" t="s">
        <v>37</v>
      </c>
      <c r="E10" s="113" t="s">
        <v>210</v>
      </c>
      <c r="F10" s="113" t="s">
        <v>37</v>
      </c>
      <c r="G10" s="113" t="s">
        <v>217</v>
      </c>
      <c r="H10" s="121" t="s">
        <v>218</v>
      </c>
    </row>
    <row r="11" customFormat="false" ht="19.5" hidden="false" customHeight="true" outlineLevel="0" collapsed="false">
      <c r="A11" s="117" t="s">
        <v>219</v>
      </c>
      <c r="B11" s="118" t="s">
        <v>220</v>
      </c>
      <c r="C11" s="118" t="s">
        <v>49</v>
      </c>
      <c r="D11" s="120" t="s">
        <v>37</v>
      </c>
      <c r="E11" s="118" t="s">
        <v>221</v>
      </c>
      <c r="F11" s="118" t="s">
        <v>37</v>
      </c>
      <c r="G11" s="118" t="s">
        <v>222</v>
      </c>
      <c r="H11" s="122" t="s">
        <v>223</v>
      </c>
    </row>
    <row r="12" customFormat="false" ht="19.5" hidden="false" customHeight="true" outlineLevel="0" collapsed="false">
      <c r="A12" s="60" t="s">
        <v>224</v>
      </c>
      <c r="B12" s="113" t="s">
        <v>220</v>
      </c>
      <c r="C12" s="113" t="s">
        <v>49</v>
      </c>
      <c r="D12" s="115" t="s">
        <v>37</v>
      </c>
      <c r="E12" s="113" t="s">
        <v>221</v>
      </c>
      <c r="F12" s="113" t="s">
        <v>37</v>
      </c>
      <c r="G12" s="113" t="s">
        <v>222</v>
      </c>
      <c r="H12" s="116" t="s">
        <v>212</v>
      </c>
    </row>
    <row r="13" customFormat="false" ht="19.5" hidden="false" customHeight="true" outlineLevel="0" collapsed="false">
      <c r="A13" s="117" t="s">
        <v>225</v>
      </c>
      <c r="B13" s="118" t="s">
        <v>226</v>
      </c>
      <c r="C13" s="119" t="s">
        <v>52</v>
      </c>
      <c r="D13" s="120" t="s">
        <v>37</v>
      </c>
      <c r="E13" s="118" t="s">
        <v>221</v>
      </c>
      <c r="F13" s="118" t="s">
        <v>37</v>
      </c>
      <c r="G13" s="118" t="s">
        <v>222</v>
      </c>
      <c r="H13" s="122" t="s">
        <v>223</v>
      </c>
    </row>
    <row r="14" customFormat="false" ht="7.5" hidden="false" customHeight="true" outlineLevel="0" collapsed="false"/>
    <row r="15" customFormat="false" ht="18" hidden="false" customHeight="true" outlineLevel="0" collapsed="false">
      <c r="A15" s="2" t="s">
        <v>227</v>
      </c>
      <c r="B15" s="2"/>
      <c r="C15" s="2"/>
      <c r="D15" s="2"/>
      <c r="E15" s="2"/>
      <c r="F15" s="2"/>
      <c r="G15" s="2"/>
      <c r="H15" s="2"/>
    </row>
    <row r="16" customFormat="false" ht="3.75" hidden="false" customHeight="true" outlineLevel="0" collapsed="false"/>
    <row r="17" customFormat="false" ht="24" hidden="false" customHeight="true" outlineLevel="0" collapsed="false">
      <c r="A17" s="3" t="s">
        <v>200</v>
      </c>
      <c r="B17" s="3" t="s">
        <v>228</v>
      </c>
      <c r="C17" s="3" t="s">
        <v>202</v>
      </c>
      <c r="D17" s="3" t="s">
        <v>203</v>
      </c>
      <c r="E17" s="3" t="s">
        <v>204</v>
      </c>
      <c r="F17" s="3" t="s">
        <v>205</v>
      </c>
      <c r="G17" s="3" t="s">
        <v>206</v>
      </c>
      <c r="H17" s="3" t="s">
        <v>207</v>
      </c>
    </row>
    <row r="18" customFormat="false" ht="19.5" hidden="false" customHeight="true" outlineLevel="0" collapsed="false">
      <c r="A18" s="121" t="s">
        <v>229</v>
      </c>
      <c r="B18" s="121" t="s">
        <v>222</v>
      </c>
      <c r="C18" s="121" t="s">
        <v>37</v>
      </c>
      <c r="D18" s="121" t="s">
        <v>37</v>
      </c>
      <c r="E18" s="121" t="s">
        <v>222</v>
      </c>
      <c r="F18" s="121" t="s">
        <v>37</v>
      </c>
      <c r="G18" s="121" t="s">
        <v>222</v>
      </c>
      <c r="H18" s="121" t="s">
        <v>230</v>
      </c>
    </row>
    <row r="19" customFormat="false" ht="19.5" hidden="false" customHeight="true" outlineLevel="0" collapsed="false">
      <c r="A19" s="60" t="s">
        <v>231</v>
      </c>
      <c r="B19" s="33" t="s">
        <v>232</v>
      </c>
      <c r="C19" s="33" t="s">
        <v>37</v>
      </c>
      <c r="D19" s="33" t="s">
        <v>37</v>
      </c>
      <c r="E19" s="33" t="s">
        <v>233</v>
      </c>
      <c r="F19" s="33" t="s">
        <v>37</v>
      </c>
      <c r="G19" s="33" t="s">
        <v>71</v>
      </c>
      <c r="H19" s="121" t="s">
        <v>218</v>
      </c>
    </row>
    <row r="20" customFormat="false" ht="19.5" hidden="false" customHeight="true" outlineLevel="0" collapsed="false">
      <c r="A20" s="117" t="s">
        <v>234</v>
      </c>
      <c r="B20" s="29" t="s">
        <v>235</v>
      </c>
      <c r="C20" s="29" t="s">
        <v>37</v>
      </c>
      <c r="D20" s="29" t="s">
        <v>37</v>
      </c>
      <c r="E20" s="29" t="s">
        <v>233</v>
      </c>
      <c r="F20" s="29" t="s">
        <v>37</v>
      </c>
      <c r="G20" s="29" t="s">
        <v>71</v>
      </c>
      <c r="H20" s="121" t="s">
        <v>218</v>
      </c>
    </row>
    <row r="21" customFormat="false" ht="19.5" hidden="false" customHeight="true" outlineLevel="0" collapsed="false">
      <c r="A21" s="60" t="s">
        <v>236</v>
      </c>
      <c r="B21" s="33" t="s">
        <v>226</v>
      </c>
      <c r="C21" s="33" t="s">
        <v>37</v>
      </c>
      <c r="D21" s="33" t="s">
        <v>237</v>
      </c>
      <c r="E21" s="33" t="s">
        <v>233</v>
      </c>
      <c r="F21" s="33" t="s">
        <v>237</v>
      </c>
      <c r="G21" s="33" t="s">
        <v>222</v>
      </c>
      <c r="H21" s="116" t="s">
        <v>212</v>
      </c>
    </row>
    <row r="22" customFormat="false" ht="7.5" hidden="false" customHeight="true" outlineLevel="0" collapsed="false"/>
    <row r="23" customFormat="false" ht="18" hidden="false" customHeight="true" outlineLevel="0" collapsed="false">
      <c r="A23" s="2" t="s">
        <v>238</v>
      </c>
      <c r="B23" s="2"/>
      <c r="C23" s="2"/>
      <c r="D23" s="2"/>
      <c r="E23" s="2"/>
      <c r="F23" s="2"/>
      <c r="G23" s="2"/>
      <c r="H23" s="2"/>
    </row>
    <row r="24" customFormat="false" ht="3.75" hidden="false" customHeight="true" outlineLevel="0" collapsed="false"/>
    <row r="25" customFormat="false" ht="24" hidden="false" customHeight="true" outlineLevel="0" collapsed="false">
      <c r="A25" s="3" t="s">
        <v>239</v>
      </c>
      <c r="B25" s="3" t="s">
        <v>228</v>
      </c>
      <c r="C25" s="3" t="s">
        <v>240</v>
      </c>
      <c r="D25" s="3" t="s">
        <v>241</v>
      </c>
      <c r="E25" s="3" t="s">
        <v>242</v>
      </c>
      <c r="F25" s="3" t="s">
        <v>205</v>
      </c>
      <c r="G25" s="3" t="s">
        <v>243</v>
      </c>
      <c r="H25" s="3" t="s">
        <v>244</v>
      </c>
    </row>
    <row r="26" customFormat="false" ht="21.75" hidden="false" customHeight="true" outlineLevel="0" collapsed="false">
      <c r="A26" s="60" t="s">
        <v>208</v>
      </c>
      <c r="B26" s="33" t="s">
        <v>209</v>
      </c>
      <c r="C26" s="33" t="s">
        <v>222</v>
      </c>
      <c r="D26" s="33" t="s">
        <v>222</v>
      </c>
      <c r="E26" s="115" t="s">
        <v>37</v>
      </c>
      <c r="F26" s="115" t="s">
        <v>37</v>
      </c>
      <c r="G26" s="33" t="s">
        <v>245</v>
      </c>
      <c r="H26" s="33" t="s">
        <v>246</v>
      </c>
    </row>
    <row r="27" customFormat="false" ht="21.75" hidden="false" customHeight="true" outlineLevel="0" collapsed="false">
      <c r="A27" s="117" t="s">
        <v>213</v>
      </c>
      <c r="B27" s="29" t="s">
        <v>214</v>
      </c>
      <c r="C27" s="29" t="s">
        <v>222</v>
      </c>
      <c r="D27" s="29" t="s">
        <v>222</v>
      </c>
      <c r="E27" s="120" t="s">
        <v>37</v>
      </c>
      <c r="F27" s="120" t="s">
        <v>37</v>
      </c>
      <c r="G27" s="29" t="s">
        <v>247</v>
      </c>
      <c r="H27" s="29" t="s">
        <v>246</v>
      </c>
    </row>
    <row r="28" customFormat="false" ht="21.75" hidden="false" customHeight="true" outlineLevel="0" collapsed="false">
      <c r="A28" s="60" t="s">
        <v>248</v>
      </c>
      <c r="B28" s="33" t="s">
        <v>220</v>
      </c>
      <c r="C28" s="33" t="s">
        <v>222</v>
      </c>
      <c r="D28" s="33" t="s">
        <v>222</v>
      </c>
      <c r="E28" s="115" t="s">
        <v>37</v>
      </c>
      <c r="F28" s="115" t="s">
        <v>37</v>
      </c>
      <c r="G28" s="33" t="s">
        <v>249</v>
      </c>
      <c r="H28" s="33" t="s">
        <v>250</v>
      </c>
    </row>
    <row r="29" customFormat="false" ht="21.75" hidden="false" customHeight="true" outlineLevel="0" collapsed="false">
      <c r="A29" s="117" t="s">
        <v>225</v>
      </c>
      <c r="B29" s="29" t="s">
        <v>226</v>
      </c>
      <c r="C29" s="29" t="s">
        <v>222</v>
      </c>
      <c r="D29" s="29" t="s">
        <v>222</v>
      </c>
      <c r="E29" s="120" t="s">
        <v>37</v>
      </c>
      <c r="F29" s="120" t="s">
        <v>37</v>
      </c>
      <c r="G29" s="29" t="s">
        <v>251</v>
      </c>
      <c r="H29" s="29" t="s">
        <v>252</v>
      </c>
    </row>
    <row r="30" customFormat="false" ht="21.75" hidden="false" customHeight="true" outlineLevel="0" collapsed="false">
      <c r="A30" s="123" t="s">
        <v>253</v>
      </c>
      <c r="B30" s="121" t="s">
        <v>254</v>
      </c>
      <c r="C30" s="121" t="s">
        <v>255</v>
      </c>
      <c r="D30" s="121" t="s">
        <v>256</v>
      </c>
      <c r="E30" s="124" t="s">
        <v>52</v>
      </c>
      <c r="F30" s="124" t="s">
        <v>52</v>
      </c>
      <c r="G30" s="121" t="s">
        <v>257</v>
      </c>
      <c r="H30" s="123" t="s">
        <v>258</v>
      </c>
    </row>
    <row r="31" customFormat="false" ht="6" hidden="false" customHeight="true" outlineLevel="0" collapsed="false"/>
    <row r="32" customFormat="false" ht="43.5" hidden="false" customHeight="true" outlineLevel="0" collapsed="false">
      <c r="A32" s="78" t="s">
        <v>259</v>
      </c>
      <c r="B32" s="78"/>
      <c r="C32" s="78"/>
      <c r="D32" s="78"/>
      <c r="E32" s="78"/>
      <c r="F32" s="78"/>
      <c r="G32" s="78"/>
      <c r="H32" s="78"/>
    </row>
  </sheetData>
  <mergeCells count="6">
    <mergeCell ref="A2:H2"/>
    <mergeCell ref="A3:H3"/>
    <mergeCell ref="A5:H5"/>
    <mergeCell ref="A15:H15"/>
    <mergeCell ref="A23:H23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2026-02-22T01:45:33Z</dcterms:created>
  <dc:creator>openpyxl</dc:creator>
  <dc:description/>
  <dc:language>en-US</dc:language>
  <cp:lastModifiedBy/>
  <dcterms:modified xsi:type="dcterms:W3CDTF">2026-02-22T01:45:33Z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